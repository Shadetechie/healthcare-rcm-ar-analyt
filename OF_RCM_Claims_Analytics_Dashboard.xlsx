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3.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4.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pengi/Documents/2026/2026 Projects/Healthcare RCM AR/"/>
    </mc:Choice>
  </mc:AlternateContent>
  <xr:revisionPtr revIDLastSave="0" documentId="13_ncr:1_{79DABBF2-3509-4A43-B870-94DE07A9A1D6}" xr6:coauthVersionLast="47" xr6:coauthVersionMax="47" xr10:uidLastSave="{00000000-0000-0000-0000-000000000000}"/>
  <bookViews>
    <workbookView xWindow="0" yWindow="660" windowWidth="29400" windowHeight="18460" xr2:uid="{F2943F4B-3342-5443-B5F0-79C8EE711D9C}"/>
  </bookViews>
  <sheets>
    <sheet name="Executive Summary" sheetId="13" r:id="rId1"/>
    <sheet name="Executive_Dashboard" sheetId="4" r:id="rId2"/>
    <sheet name="Data_Payer_Summary" sheetId="1" r:id="rId3"/>
    <sheet name="Pivot_1" sheetId="8" r:id="rId4"/>
    <sheet name="Data_Denial_Root_Cause" sheetId="2" r:id="rId5"/>
    <sheet name="Pivot_2" sheetId="7" r:id="rId6"/>
    <sheet name="Data_Specialty_Risk" sheetId="3" r:id="rId7"/>
    <sheet name="Pivot_3" sheetId="9" r:id="rId8"/>
    <sheet name="Data_AR_DSO_Metrics" sheetId="10" r:id="rId9"/>
    <sheet name="Pivot 4" sheetId="11" r:id="rId10"/>
  </sheets>
  <definedNames>
    <definedName name="Slicer_payer_type">#N/A</definedName>
    <definedName name="Slicer_provider_specialty">#N/A</definedName>
  </definedNames>
  <calcPr calcId="191029"/>
  <pivotCaches>
    <pivotCache cacheId="4" r:id="rId11"/>
    <pivotCache cacheId="5" r:id="rId12"/>
    <pivotCache cacheId="6" r:id="rId13"/>
    <pivotCache cacheId="7"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4" l="1"/>
  <c r="D6" i="4"/>
  <c r="A6" i="4"/>
</calcChain>
</file>

<file path=xl/sharedStrings.xml><?xml version="1.0" encoding="utf-8"?>
<sst xmlns="http://schemas.openxmlformats.org/spreadsheetml/2006/main" count="1435" uniqueCount="144">
  <si>
    <t>payer_type</t>
  </si>
  <si>
    <t>total_claims</t>
  </si>
  <si>
    <t>total_denied_claims</t>
  </si>
  <si>
    <t>denial_rate_pct</t>
  </si>
  <si>
    <t>total_estimated_recovery_usd</t>
  </si>
  <si>
    <t>Commercial_PPO</t>
  </si>
  <si>
    <t>Medicare_FFS</t>
  </si>
  <si>
    <t>Medicare_Advantage</t>
  </si>
  <si>
    <t>Commercial_HMO</t>
  </si>
  <si>
    <t>Medicaid_Managed</t>
  </si>
  <si>
    <t>Commercial_EPO</t>
  </si>
  <si>
    <t>denial_category</t>
  </si>
  <si>
    <t>denial_code_description</t>
  </si>
  <si>
    <t>total_denials</t>
  </si>
  <si>
    <t>appealable</t>
  </si>
  <si>
    <t>avg_appeal_success_pct</t>
  </si>
  <si>
    <t>total_recoverable_usd</t>
  </si>
  <si>
    <t>recovery_action</t>
  </si>
  <si>
    <t>coding_error</t>
  </si>
  <si>
    <t>Diagnosis_inconsistent_with_procedure</t>
  </si>
  <si>
    <t>recode_and_resubmit</t>
  </si>
  <si>
    <t>Procedure_code_inconsistent_with_modifier</t>
  </si>
  <si>
    <t>Claim_lacks_information_for_adjudication</t>
  </si>
  <si>
    <t>Payment_included_in_another_claim</t>
  </si>
  <si>
    <t>medical_necessity</t>
  </si>
  <si>
    <t>appeal</t>
  </si>
  <si>
    <t>Claim_not_covered_by_this_payer</t>
  </si>
  <si>
    <t>Non_covered_service</t>
  </si>
  <si>
    <t>Benefit_maximum_reached</t>
  </si>
  <si>
    <t>auth_missing</t>
  </si>
  <si>
    <t>Consult_required_prior_to_service</t>
  </si>
  <si>
    <t>obtain_auth_and_resubmit</t>
  </si>
  <si>
    <t>Service_requires_prior_authorization</t>
  </si>
  <si>
    <t>eligibility</t>
  </si>
  <si>
    <t>verify_eligibility_resubmit</t>
  </si>
  <si>
    <t>Expenses_incurred_after_coverage_terminated</t>
  </si>
  <si>
    <t>bundling</t>
  </si>
  <si>
    <t>Payment_adjusted_per_contractual_rate</t>
  </si>
  <si>
    <t>Coordination_of_benefits</t>
  </si>
  <si>
    <t>duplicate</t>
  </si>
  <si>
    <t>Duplicate_claim</t>
  </si>
  <si>
    <t>writeoff</t>
  </si>
  <si>
    <t>Duplicate_claim_different_provider</t>
  </si>
  <si>
    <t>timely_filing</t>
  </si>
  <si>
    <t>Time_limit_for_filing_expired</t>
  </si>
  <si>
    <t>provider_specialty</t>
  </si>
  <si>
    <t>cpt_code</t>
  </si>
  <si>
    <t>denied_claims</t>
  </si>
  <si>
    <t>specialty_denial_rate_pct</t>
  </si>
  <si>
    <t>total_at_risk_dollars</t>
  </si>
  <si>
    <t>Orthopedic_Surgery</t>
  </si>
  <si>
    <t>Cardiology</t>
  </si>
  <si>
    <t>Obstetrics_Gynecology</t>
  </si>
  <si>
    <t>Oncology</t>
  </si>
  <si>
    <t>Gastroenterology</t>
  </si>
  <si>
    <t>Emergency_Medicine</t>
  </si>
  <si>
    <t>Pulmonology</t>
  </si>
  <si>
    <t>REVENUE CYCLE MANAGEMENT (RCM) DENIAL &amp; RECOVERY DASHBOARD</t>
  </si>
  <si>
    <t>Row Labels</t>
  </si>
  <si>
    <t>Grand Total</t>
  </si>
  <si>
    <t>Sum of total_claims</t>
  </si>
  <si>
    <t>Sum of total_denied_claims</t>
  </si>
  <si>
    <t>Sum of total_estimated_recovery_usd</t>
  </si>
  <si>
    <t>Sum of total_recoverable_usd</t>
  </si>
  <si>
    <t>recoverable_usd</t>
  </si>
  <si>
    <t>category_of_recovery_action</t>
  </si>
  <si>
    <t>FALSE</t>
  </si>
  <si>
    <t>TRUE</t>
  </si>
  <si>
    <t>Average of avg_appeal_success_pct</t>
  </si>
  <si>
    <t>Sum of denied_claims</t>
  </si>
  <si>
    <t>Sum of total_at_risk_dollars</t>
  </si>
  <si>
    <t>Sum of cpt_code</t>
  </si>
  <si>
    <t>ar_aging_bucket</t>
  </si>
  <si>
    <t>total_at_risk_recovery_usd</t>
  </si>
  <si>
    <t>avg_days_open</t>
  </si>
  <si>
    <t>payer_benchmark_turnaround_days</t>
  </si>
  <si>
    <t>running_total_at_risk_usd</t>
  </si>
  <si>
    <t>Radiology</t>
  </si>
  <si>
    <t>01. 0–30 days</t>
  </si>
  <si>
    <t>Behavioral_Health</t>
  </si>
  <si>
    <t>Physical_Therapy</t>
  </si>
  <si>
    <t>Neurology</t>
  </si>
  <si>
    <t>Internal_Medicine</t>
  </si>
  <si>
    <t>Primary_Care</t>
  </si>
  <si>
    <t>02. 31–60 days</t>
  </si>
  <si>
    <t>03. 61–90 days</t>
  </si>
  <si>
    <t>04. 91–120 days</t>
  </si>
  <si>
    <t>05. 120+ days</t>
  </si>
  <si>
    <t>Average of avg_days_open</t>
  </si>
  <si>
    <t>Average of payer_benchmark_turnaround_days</t>
  </si>
  <si>
    <t>at_risk_recovery_usd</t>
  </si>
  <si>
    <t>Column Labels</t>
  </si>
  <si>
    <t>Recoverable_Revenue</t>
  </si>
  <si>
    <t>Cpt-Code</t>
  </si>
  <si>
    <t>Provider-Specialty</t>
  </si>
  <si>
    <t>TOTAL RECOVERABLE REVENUE</t>
  </si>
  <si>
    <t>TOTAL AT-RISK REVENUE</t>
  </si>
  <si>
    <t>EXECUTIVE TAKEAWAYS</t>
  </si>
  <si>
    <r>
      <t>$32.51M Total Recoverable Revenue:</t>
    </r>
    <r>
      <rPr>
        <sz val="12"/>
        <color theme="1"/>
        <rFont val="Arial"/>
        <family val="2"/>
      </rPr>
      <t xml:space="preserve"> Primary upside sits in Commercial PPO ($10.52M) and Medicare lines ($11.36M).</t>
    </r>
  </si>
  <si>
    <r>
      <t>60%+ Specialty Risk Concentration:</t>
    </r>
    <r>
      <rPr>
        <sz val="12"/>
        <color theme="1"/>
        <rFont val="Arial"/>
        <family val="2"/>
      </rPr>
      <t xml:space="preserve"> Orthopedic Surgery ($10.25M) and Cardiology ($5.39M) account for $15.64M in at-risk revenue.</t>
    </r>
  </si>
  <si>
    <t>Executive Summary: REVENUE CYCLE MANAGEMENT (RCM) DENIAL &amp; RECOVERY ANALYTICS</t>
  </si>
  <si>
    <t>1. Executive Snapshot &amp; Portfolio Baseline</t>
  </si>
  <si>
    <r>
      <t>Total Recoverable Revenue:</t>
    </r>
    <r>
      <rPr>
        <sz val="12"/>
        <color theme="1"/>
        <rFont val="Arial"/>
        <family val="2"/>
      </rPr>
      <t xml:space="preserve"> $32.51M across open and denied claims.</t>
    </r>
  </si>
  <si>
    <r>
      <t>Total At-Risk Exposure:</t>
    </r>
    <r>
      <rPr>
        <sz val="12"/>
        <color theme="1"/>
        <rFont val="Arial"/>
        <family val="2"/>
      </rPr>
      <t xml:space="preserve"> $24.87M concentrated in clinical and coding denials.</t>
    </r>
  </si>
  <si>
    <r>
      <t>Baseline Appeal Win Rate:</t>
    </r>
    <r>
      <rPr>
        <sz val="12"/>
        <color theme="1"/>
        <rFont val="Arial"/>
        <family val="2"/>
      </rPr>
      <t xml:space="preserve"> 41.50% average recovery probability on clinical re-evaluations.</t>
    </r>
  </si>
  <si>
    <t>2. Key Operational Findings &amp; Risk Drivers</t>
  </si>
  <si>
    <t>Payer Risk Concentration</t>
  </si>
  <si>
    <t>Financial exposure is heavily skewed toward commercial managed care and traditional Medicare lines:</t>
  </si>
  <si>
    <r>
      <t>Commercial PPO:</t>
    </r>
    <r>
      <rPr>
        <sz val="12"/>
        <color theme="1"/>
        <rFont val="Arial"/>
        <family val="2"/>
      </rPr>
      <t xml:space="preserve"> Represents our highest financial exposure, accounting for </t>
    </r>
    <r>
      <rPr>
        <b/>
        <sz val="12"/>
        <color theme="1"/>
        <rFont val="Arial"/>
        <family val="2"/>
      </rPr>
      <t>$10.52M</t>
    </r>
    <r>
      <rPr>
        <sz val="12"/>
        <color theme="1"/>
        <rFont val="Arial"/>
        <family val="2"/>
      </rPr>
      <t xml:space="preserve"> (32.4%) of total recoverable dollars.</t>
    </r>
  </si>
  <si>
    <r>
      <t>Government Payers:</t>
    </r>
    <r>
      <rPr>
        <sz val="12"/>
        <color theme="1"/>
        <rFont val="Arial"/>
        <family val="2"/>
      </rPr>
      <t xml:space="preserve"> Medicare FFS (</t>
    </r>
    <r>
      <rPr>
        <b/>
        <sz val="12"/>
        <color theme="1"/>
        <rFont val="Arial"/>
        <family val="2"/>
      </rPr>
      <t>$6.17M</t>
    </r>
    <r>
      <rPr>
        <sz val="12"/>
        <color theme="1"/>
        <rFont val="Arial"/>
        <family val="2"/>
      </rPr>
      <t>) and Medicare Advantage (</t>
    </r>
    <r>
      <rPr>
        <b/>
        <sz val="12"/>
        <color theme="1"/>
        <rFont val="Arial"/>
        <family val="2"/>
      </rPr>
      <t>$5.19M</t>
    </r>
    <r>
      <rPr>
        <sz val="12"/>
        <color theme="1"/>
        <rFont val="Arial"/>
        <family val="2"/>
      </rPr>
      <t xml:space="preserve">) combined represent </t>
    </r>
    <r>
      <rPr>
        <b/>
        <sz val="12"/>
        <color theme="1"/>
        <rFont val="Arial"/>
        <family val="2"/>
      </rPr>
      <t>$11.36M</t>
    </r>
    <r>
      <rPr>
        <sz val="12"/>
        <color theme="1"/>
        <rFont val="Arial"/>
        <family val="2"/>
      </rPr>
      <t xml:space="preserve"> in uncollected accounts receivable.</t>
    </r>
  </si>
  <si>
    <r>
      <t>Commercial HMO &amp; Medicaid Managed:</t>
    </r>
    <r>
      <rPr>
        <sz val="12"/>
        <color theme="1"/>
        <rFont val="Arial"/>
        <family val="2"/>
      </rPr>
      <t xml:space="preserve"> Represent $5.07M and $2.92M in open revenue, respectively.</t>
    </r>
  </si>
  <si>
    <t>Specialty Concentration</t>
  </si>
  <si>
    <r>
      <t xml:space="preserve">Over </t>
    </r>
    <r>
      <rPr>
        <b/>
        <sz val="12"/>
        <color theme="1"/>
        <rFont val="Arial"/>
        <family val="2"/>
      </rPr>
      <t>60% of total at-risk dollars</t>
    </r>
    <r>
      <rPr>
        <sz val="12"/>
        <color theme="1"/>
        <rFont val="Arial"/>
        <family val="2"/>
      </rPr>
      <t xml:space="preserve"> are concentrated within two high-volume surgical lines:</t>
    </r>
  </si>
  <si>
    <r>
      <t>Orthopedic Surgery:</t>
    </r>
    <r>
      <rPr>
        <sz val="12"/>
        <color theme="1"/>
        <rFont val="Arial"/>
        <family val="2"/>
      </rPr>
      <t xml:space="preserve"> Single-handedly accounts for </t>
    </r>
    <r>
      <rPr>
        <b/>
        <sz val="12"/>
        <color theme="1"/>
        <rFont val="Arial"/>
        <family val="2"/>
      </rPr>
      <t>$10.25M</t>
    </r>
    <r>
      <rPr>
        <sz val="12"/>
        <color theme="1"/>
        <rFont val="Arial"/>
        <family val="2"/>
      </rPr>
      <t xml:space="preserve"> (41.2%) of total at-risk revenue exposure.</t>
    </r>
  </si>
  <si>
    <r>
      <t>Cardiology:</t>
    </r>
    <r>
      <rPr>
        <sz val="12"/>
        <color theme="1"/>
        <rFont val="Arial"/>
        <family val="2"/>
      </rPr>
      <t xml:space="preserve"> Drives </t>
    </r>
    <r>
      <rPr>
        <b/>
        <sz val="12"/>
        <color theme="1"/>
        <rFont val="Arial"/>
        <family val="2"/>
      </rPr>
      <t>$5.39M</t>
    </r>
    <r>
      <rPr>
        <sz val="12"/>
        <color theme="1"/>
        <rFont val="Arial"/>
        <family val="2"/>
      </rPr>
      <t xml:space="preserve"> in at-risk revenue, forming the second-largest specialty impact.</t>
    </r>
  </si>
  <si>
    <r>
      <t>Obstetrics &amp; Gynecology:</t>
    </r>
    <r>
      <rPr>
        <sz val="12"/>
        <color theme="1"/>
        <rFont val="Arial"/>
        <family val="2"/>
      </rPr>
      <t xml:space="preserve"> Represents </t>
    </r>
    <r>
      <rPr>
        <b/>
        <sz val="12"/>
        <color theme="1"/>
        <rFont val="Arial"/>
        <family val="2"/>
      </rPr>
      <t>$3.57M</t>
    </r>
    <r>
      <rPr>
        <sz val="12"/>
        <color theme="1"/>
        <rFont val="Arial"/>
        <family val="2"/>
      </rPr>
      <t xml:space="preserve"> in open denial exposure.</t>
    </r>
  </si>
  <si>
    <t>Root Cause Denial Drivers</t>
  </si>
  <si>
    <t>Denials are predominantly operational and administrative rather than fundamental non-coverage issues:</t>
  </si>
  <si>
    <t>3. Process Bottlenecks &amp; Payment Velocity</t>
  </si>
  <si>
    <t>A severe operational lag exists between claim submission and final cash resolution:</t>
  </si>
  <si>
    <r>
      <t>Average Days Open:</t>
    </r>
    <r>
      <rPr>
        <sz val="12"/>
        <color theme="1"/>
        <rFont val="Arial"/>
        <family val="2"/>
      </rPr>
      <t xml:space="preserve"> Active claims average over </t>
    </r>
    <r>
      <rPr>
        <b/>
        <sz val="12"/>
        <color theme="1"/>
        <rFont val="Arial"/>
        <family val="2"/>
      </rPr>
      <t>180 days open</t>
    </r>
    <r>
      <rPr>
        <sz val="12"/>
        <color theme="1"/>
        <rFont val="Arial"/>
        <family val="2"/>
      </rPr>
      <t xml:space="preserve"> across all major payer categories.</t>
    </r>
  </si>
  <si>
    <r>
      <t>Payer Turnaround Benchmark:</t>
    </r>
    <r>
      <rPr>
        <sz val="12"/>
        <color theme="1"/>
        <rFont val="Arial"/>
        <family val="2"/>
      </rPr>
      <t xml:space="preserve"> Standard payer adjudication benchmarks range from </t>
    </r>
    <r>
      <rPr>
        <b/>
        <sz val="12"/>
        <color theme="1"/>
        <rFont val="Arial"/>
        <family val="2"/>
      </rPr>
      <t>25 to 30 days</t>
    </r>
    <r>
      <rPr>
        <sz val="12"/>
        <color theme="1"/>
        <rFont val="Arial"/>
        <family val="2"/>
      </rPr>
      <t>.</t>
    </r>
  </si>
  <si>
    <r>
      <t>Operational Insight:</t>
    </r>
    <r>
      <rPr>
        <sz val="12"/>
        <color theme="1"/>
        <rFont val="Arial"/>
        <family val="2"/>
      </rPr>
      <t xml:space="preserve"> The variance highlights that revenue is not being lost to unappealable payer rejections, but is remaining trapped in extended follow-up backlogs and delayed appeal submissions.</t>
    </r>
  </si>
  <si>
    <t>4. Operational Action Plan &amp; Revenue Recovery Roadmap</t>
  </si>
  <si>
    <t>To eliminate follow-up backlogs, accelerate cash collections, and prevent recurring front-end denials, revenue cycle operations will execute a three-tiered recovery roadmap:</t>
  </si>
  <si>
    <r>
      <t>Action:</t>
    </r>
    <r>
      <rPr>
        <sz val="12"/>
        <color theme="1"/>
        <rFont val="Arial"/>
        <family val="2"/>
      </rPr>
      <t xml:space="preserve"> Re-assign billing specialists to immediately execute </t>
    </r>
    <r>
      <rPr>
        <b/>
        <sz val="10"/>
        <color theme="1"/>
        <rFont val="Google Sans Text"/>
        <family val="2"/>
      </rPr>
      <t>recode_and_resubmit</t>
    </r>
    <r>
      <rPr>
        <sz val="12"/>
        <color theme="1"/>
        <rFont val="Arial"/>
        <family val="2"/>
      </rPr>
      <t xml:space="preserve"> workflows for identified coding errors.</t>
    </r>
  </si>
  <si>
    <r>
      <t>Impact:</t>
    </r>
    <r>
      <rPr>
        <sz val="12"/>
        <color theme="1"/>
        <rFont val="Arial"/>
        <family val="2"/>
      </rPr>
      <t xml:space="preserve"> Unlocks </t>
    </r>
    <r>
      <rPr>
        <b/>
        <sz val="12"/>
        <color theme="1"/>
        <rFont val="Arial"/>
        <family val="2"/>
      </rPr>
      <t>$14.48M</t>
    </r>
    <r>
      <rPr>
        <sz val="12"/>
        <color theme="1"/>
        <rFont val="Arial"/>
        <family val="2"/>
      </rPr>
      <t xml:space="preserve"> with low administrative friction and short turnaround cycles.</t>
    </r>
  </si>
  <si>
    <t>Tier 2: Targeted Clinical Appeals ($9.88M)</t>
  </si>
  <si>
    <r>
      <t>Action:</t>
    </r>
    <r>
      <rPr>
        <sz val="12"/>
        <color theme="1"/>
        <rFont val="Arial"/>
        <family val="2"/>
      </rPr>
      <t xml:space="preserve"> Deploy dedicated clinical appeal nurse specialists focused exclusively on </t>
    </r>
    <r>
      <rPr>
        <b/>
        <sz val="12"/>
        <color theme="1"/>
        <rFont val="Arial"/>
        <family val="2"/>
      </rPr>
      <t>Orthopedic Surgery ($10.25M)</t>
    </r>
    <r>
      <rPr>
        <sz val="12"/>
        <color theme="1"/>
        <rFont val="Arial"/>
        <family val="2"/>
      </rPr>
      <t xml:space="preserve"> and </t>
    </r>
    <r>
      <rPr>
        <b/>
        <sz val="12"/>
        <color theme="1"/>
        <rFont val="Arial"/>
        <family val="2"/>
      </rPr>
      <t>Cardiology ($5.39M)</t>
    </r>
    <r>
      <rPr>
        <sz val="12"/>
        <color theme="1"/>
        <rFont val="Arial"/>
        <family val="2"/>
      </rPr>
      <t xml:space="preserve"> medical necessity denials.</t>
    </r>
  </si>
  <si>
    <t>Tier 3: Front-End Denial Prevention ($5.63M)</t>
  </si>
  <si>
    <r>
      <t>Action:</t>
    </r>
    <r>
      <rPr>
        <sz val="12"/>
        <color theme="1"/>
        <rFont val="Arial"/>
        <family val="2"/>
      </rPr>
      <t xml:space="preserve"> Mandate automated pre-service authorization verification checks in Patient Access for all elective surgical encounters.</t>
    </r>
  </si>
  <si>
    <r>
      <t>Impact:</t>
    </r>
    <r>
      <rPr>
        <sz val="12"/>
        <color theme="1"/>
        <rFont val="Arial"/>
        <family val="2"/>
      </rPr>
      <t xml:space="preserve"> Directly eliminates </t>
    </r>
    <r>
      <rPr>
        <b/>
        <sz val="12"/>
        <color theme="1"/>
        <rFont val="Arial"/>
        <family val="2"/>
      </rPr>
      <t>$5.63M</t>
    </r>
    <r>
      <rPr>
        <sz val="12"/>
        <color theme="1"/>
        <rFont val="Arial"/>
        <family val="2"/>
      </rPr>
      <t xml:space="preserve"> in missing authorization denials before initial claim billing.</t>
    </r>
  </si>
  <si>
    <r>
      <t>Root Cause Driver:</t>
    </r>
    <r>
      <rPr>
        <sz val="12"/>
        <color theme="1"/>
        <rFont val="Arial"/>
        <family val="2"/>
      </rPr>
      <t xml:space="preserve"> Coding errors represent $12.21M in denials, followed by Medical Necessity at $9.88M.</t>
    </r>
  </si>
  <si>
    <r>
      <t>Action Plan:</t>
    </r>
    <r>
      <rPr>
        <sz val="12"/>
        <color theme="1"/>
        <rFont val="Arial"/>
        <family val="2"/>
      </rPr>
      <t xml:space="preserve"> Prioritize $14.46M in low-friction recode/resubmit workflows to drive immediate cash turnaround.</t>
    </r>
  </si>
  <si>
    <t>Tier 1: Fast-Track Cash Realization ($14.46M)</t>
  </si>
  <si>
    <t>Direct Appeal Opportunity</t>
  </si>
  <si>
    <r>
      <t>Medical Necessity:</t>
    </r>
    <r>
      <rPr>
        <sz val="12"/>
        <color theme="1"/>
        <rFont val="Arial"/>
        <family val="2"/>
      </rPr>
      <t xml:space="preserve"> Secondary driver representing </t>
    </r>
    <r>
      <rPr>
        <b/>
        <sz val="12"/>
        <color theme="1"/>
        <rFont val="Arial"/>
        <family val="2"/>
      </rPr>
      <t>$9.88M</t>
    </r>
    <r>
      <rPr>
        <sz val="12"/>
        <color theme="1"/>
        <rFont val="Arial"/>
        <family val="2"/>
      </rPr>
      <t xml:space="preserve"> in contested claims. The medical-necessity appeal queue is $9.88 million, with a recorded average success rate of approximately 47.1%.</t>
    </r>
  </si>
  <si>
    <r>
      <rPr>
        <b/>
        <sz val="12"/>
        <color theme="1"/>
        <rFont val="Arial"/>
        <family val="2"/>
      </rPr>
      <t>Correct-and-resubmit queue:</t>
    </r>
    <r>
      <rPr>
        <sz val="12"/>
        <color theme="1"/>
        <rFont val="Arial"/>
        <family val="2"/>
      </rPr>
      <t xml:space="preserve"> </t>
    </r>
    <r>
      <rPr>
        <b/>
        <sz val="12"/>
        <color theme="1"/>
        <rFont val="Arial"/>
        <family val="2"/>
      </rPr>
      <t>$14.46M</t>
    </r>
  </si>
  <si>
    <r>
      <t xml:space="preserve">An end-to-end diagnostic of our 120,000 active claim portfolio reveals </t>
    </r>
    <r>
      <rPr>
        <b/>
        <sz val="12"/>
        <color theme="1"/>
        <rFont val="Arial"/>
        <family val="2"/>
      </rPr>
      <t>$32.51M in Total Recoverable Revenue</t>
    </r>
    <r>
      <rPr>
        <sz val="12"/>
        <color theme="1"/>
        <rFont val="Arial"/>
        <family val="2"/>
      </rPr>
      <t xml:space="preserve"> against </t>
    </r>
    <r>
      <rPr>
        <b/>
        <sz val="12"/>
        <color theme="1"/>
        <rFont val="Arial"/>
        <family val="2"/>
      </rPr>
      <t>$24.87M in immediate at-risk revenue exposure</t>
    </r>
    <r>
      <rPr>
        <sz val="12"/>
        <color theme="1"/>
        <rFont val="Arial"/>
        <family val="2"/>
      </rPr>
      <t xml:space="preserve">. </t>
    </r>
  </si>
  <si>
    <t>With an established 41.50% historical appeal success rate, operational intervention focused on root-cause remediation and workflow prioritization will yield high net cash realization while reducing downstream denial friction.</t>
  </si>
  <si>
    <r>
      <t>Coding Errors:</t>
    </r>
    <r>
      <rPr>
        <sz val="12"/>
        <color theme="1"/>
        <rFont val="Arial"/>
        <family val="2"/>
      </rPr>
      <t xml:space="preserve"> Primary root cause driving </t>
    </r>
    <r>
      <rPr>
        <b/>
        <sz val="12"/>
        <color theme="1"/>
        <rFont val="Arial"/>
        <family val="2"/>
      </rPr>
      <t>$12.21M</t>
    </r>
    <r>
      <rPr>
        <sz val="12"/>
        <color theme="1"/>
        <rFont val="Arial"/>
        <family val="2"/>
      </rPr>
      <t xml:space="preserve"> in recoverable denials.</t>
    </r>
  </si>
  <si>
    <r>
      <t>Missing Authorizations:</t>
    </r>
    <r>
      <rPr>
        <sz val="12"/>
        <color theme="1"/>
        <rFont val="Arial"/>
        <family val="2"/>
      </rPr>
      <t xml:space="preserve"> Administrative gap accounting for </t>
    </r>
    <r>
      <rPr>
        <b/>
        <sz val="12"/>
        <color theme="1"/>
        <rFont val="Arial"/>
        <family val="2"/>
      </rPr>
      <t>$5.64M</t>
    </r>
    <r>
      <rPr>
        <sz val="12"/>
        <color theme="1"/>
        <rFont val="Arial"/>
        <family val="2"/>
      </rPr>
      <t xml:space="preserve"> in initial claim rejections.</t>
    </r>
  </si>
  <si>
    <t>Sum of total_denials</t>
  </si>
  <si>
    <r>
      <t>Impact:</t>
    </r>
    <r>
      <rPr>
        <sz val="12"/>
        <color theme="1"/>
        <rFont val="Arial"/>
        <family val="2"/>
      </rPr>
      <t xml:space="preserve"> Leverages our </t>
    </r>
    <r>
      <rPr>
        <b/>
        <sz val="12"/>
        <color theme="1"/>
        <rFont val="Arial"/>
        <family val="2"/>
      </rPr>
      <t>47.075% appeal success benchmark</t>
    </r>
    <r>
      <rPr>
        <sz val="12"/>
        <color theme="1"/>
        <rFont val="Arial"/>
        <family val="2"/>
      </rPr>
      <t xml:space="preserve"> to systematically recover up to </t>
    </r>
    <r>
      <rPr>
        <b/>
        <sz val="12"/>
        <color theme="1"/>
        <rFont val="Arial"/>
        <family val="2"/>
      </rPr>
      <t>$9.88M</t>
    </r>
    <r>
      <rPr>
        <sz val="12"/>
        <color theme="1"/>
        <rFont val="Arial"/>
        <family val="2"/>
      </rPr>
      <t xml:space="preserve"> in contested clinical claims.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</si>
</sst>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00,,\M"/>
  </numFmts>
  <fonts count="3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rgb="FF000000"/>
      <name val="Helvetica Neue"/>
      <family val="2"/>
    </font>
    <font>
      <b/>
      <sz val="10"/>
      <color rgb="FF000000"/>
      <name val="Helvetica Neue"/>
      <family val="2"/>
    </font>
    <font>
      <sz val="12"/>
      <color theme="1"/>
      <name val="Helvetica"/>
      <family val="2"/>
    </font>
    <font>
      <b/>
      <sz val="18"/>
      <color theme="0"/>
      <name val="Calibri"/>
      <family val="2"/>
    </font>
    <font>
      <b/>
      <sz val="12"/>
      <color theme="1"/>
      <name val="Aptos Narrow"/>
      <scheme val="minor"/>
    </font>
    <font>
      <b/>
      <sz val="22"/>
      <color theme="1"/>
      <name val="Calibri"/>
      <family val="2"/>
    </font>
    <font>
      <b/>
      <sz val="22"/>
      <color theme="1"/>
      <name val="Aptos Narrow"/>
      <family val="2"/>
      <scheme val="minor"/>
    </font>
    <font>
      <sz val="12"/>
      <color theme="1"/>
      <name val="Arial"/>
      <family val="2"/>
    </font>
    <font>
      <b/>
      <sz val="12"/>
      <color theme="1"/>
      <name val="Arial"/>
      <family val="2"/>
    </font>
    <font>
      <b/>
      <sz val="22"/>
      <color theme="0"/>
      <name val="Calibri"/>
      <family val="2"/>
    </font>
    <font>
      <b/>
      <sz val="18"/>
      <color theme="1"/>
      <name val="Arial"/>
      <family val="2"/>
    </font>
    <font>
      <b/>
      <sz val="13.5"/>
      <color theme="1"/>
      <name val="Arial"/>
      <family val="2"/>
    </font>
    <font>
      <b/>
      <sz val="10"/>
      <color theme="1"/>
      <name val="Google Sans Text"/>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9.9978637043366805E-2"/>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4">
    <xf numFmtId="0" fontId="0" fillId="0" borderId="0" xfId="0"/>
    <xf numFmtId="0" fontId="19" fillId="0" borderId="0" xfId="0" applyFont="1"/>
    <xf numFmtId="0" fontId="18" fillId="0" borderId="0" xfId="0" applyFont="1"/>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44" fontId="0" fillId="0" borderId="0" xfId="0" applyNumberFormat="1"/>
    <xf numFmtId="0" fontId="20" fillId="0" borderId="0" xfId="0" applyFont="1"/>
    <xf numFmtId="165" fontId="0" fillId="0" borderId="0" xfId="0" applyNumberFormat="1"/>
    <xf numFmtId="0" fontId="23" fillId="34" borderId="0" xfId="0" applyFont="1" applyFill="1"/>
    <xf numFmtId="0" fontId="24" fillId="34" borderId="0" xfId="0" applyFont="1" applyFill="1"/>
    <xf numFmtId="0" fontId="26" fillId="0" borderId="0" xfId="0" applyFont="1"/>
    <xf numFmtId="0" fontId="27" fillId="33" borderId="0" xfId="0" applyFont="1" applyFill="1" applyAlignment="1">
      <alignment wrapText="1" shrinkToFit="1"/>
    </xf>
    <xf numFmtId="0" fontId="28" fillId="0" borderId="0" xfId="0" applyFont="1"/>
    <xf numFmtId="0" fontId="25" fillId="0" borderId="0" xfId="0" applyFont="1"/>
    <xf numFmtId="0" fontId="29" fillId="0" borderId="0" xfId="0" applyFont="1"/>
    <xf numFmtId="0" fontId="27" fillId="33" borderId="0" xfId="0" applyFont="1" applyFill="1" applyAlignment="1">
      <alignment horizontal="center" wrapText="1" shrinkToFit="1"/>
    </xf>
    <xf numFmtId="0" fontId="21" fillId="33" borderId="0" xfId="0" applyFont="1" applyFill="1" applyAlignment="1">
      <alignment horizontal="center" shrinkToFit="1"/>
    </xf>
    <xf numFmtId="0" fontId="22" fillId="34" borderId="0" xfId="0" applyFont="1" applyFill="1" applyAlignment="1">
      <alignment horizontal="center"/>
    </xf>
    <xf numFmtId="165" fontId="23" fillId="34" borderId="0" xfId="42" applyNumberFormat="1" applyFont="1" applyFill="1" applyAlignment="1">
      <alignment horizontal="center"/>
    </xf>
    <xf numFmtId="165" fontId="24" fillId="34" borderId="0" xfId="0" applyNumberFormat="1" applyFont="1" applyFill="1" applyAlignment="1">
      <alignment horizontal="center"/>
    </xf>
    <xf numFmtId="0" fontId="0" fillId="0" borderId="0" xfId="0" applyNumberFormat="1"/>
    <xf numFmtId="165" fontId="24" fillId="34" borderId="0" xfId="0" applyNumberFormat="1"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3">
    <dxf>
      <numFmt numFmtId="13" formatCode="0%"/>
    </dxf>
    <dxf>
      <numFmt numFmtId="34" formatCode="_(&quot;$&quot;* #,##0.00_);_(&quot;$&quot;* \(#,##0.00\);_(&quot;$&quot;* &quot;-&quot;??_);_(@_)"/>
    </dxf>
    <dxf>
      <numFmt numFmtId="164" formatCode="&quot;$&quot;#,##0.00"/>
    </dxf>
    <dxf>
      <numFmt numFmtId="2" formatCode="0.00"/>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i val="0"/>
        <strike val="0"/>
        <condense val="0"/>
        <extend val="0"/>
        <outline val="0"/>
        <shadow val="0"/>
        <u val="none"/>
        <vertAlign val="baseline"/>
        <sz val="10"/>
        <color rgb="FF000000"/>
        <name val="Helvetica Neue"/>
        <family val="2"/>
        <scheme val="none"/>
      </font>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i val="0"/>
        <strike val="0"/>
        <condense val="0"/>
        <extend val="0"/>
        <outline val="0"/>
        <shadow val="0"/>
        <u val="none"/>
        <vertAlign val="baseline"/>
        <sz val="10"/>
        <color rgb="FF000000"/>
        <name val="Helvetica Neue"/>
        <family val="2"/>
        <scheme val="none"/>
      </font>
    </dxf>
    <dxf>
      <numFmt numFmtId="2" formatCode="0.00"/>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i val="0"/>
        <strike val="0"/>
        <condense val="0"/>
        <extend val="0"/>
        <outline val="0"/>
        <shadow val="0"/>
        <u val="none"/>
        <vertAlign val="baseline"/>
        <sz val="10"/>
        <color rgb="FF000000"/>
        <name val="Helvetica Neue"/>
        <family val="2"/>
        <scheme val="none"/>
      </font>
    </dxf>
    <dxf>
      <numFmt numFmtId="165" formatCode="&quot;$&quot;#,##0.00,,\M"/>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[OF_RCM_Claims_Analytics_Dashboard.xlsx]Pivot 4!PivotTable12</c:name>
    <c:fmtId val="9"/>
  </c:pivotSource>
  <c:chart>
    <c:title>
      <c:tx>
        <c:rich>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Calibri" panose="020F0502020204030204" pitchFamily="34" charset="0"/>
              </a:defRPr>
            </a:pPr>
            <a:r>
              <a:rPr lang="en-US" b="1">
                <a:solidFill>
                  <a:schemeClr val="tx1"/>
                </a:solidFill>
                <a:latin typeface="Calibri" panose="020F0502020204030204" pitchFamily="34" charset="0"/>
                <a:cs typeface="Calibri" panose="020F0502020204030204" pitchFamily="34" charset="0"/>
              </a:rPr>
              <a:t>AR Aging</a:t>
            </a:r>
            <a:r>
              <a:rPr lang="en-US" b="1" baseline="0">
                <a:solidFill>
                  <a:schemeClr val="tx1"/>
                </a:solidFill>
                <a:latin typeface="Calibri" panose="020F0502020204030204" pitchFamily="34" charset="0"/>
                <a:cs typeface="Calibri" panose="020F0502020204030204" pitchFamily="34" charset="0"/>
              </a:rPr>
              <a:t> Distibution by Payer</a:t>
            </a:r>
            <a:endParaRPr lang="en-US" b="1">
              <a:solidFill>
                <a:schemeClr val="tx1"/>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4'!$B$1:$B$2</c:f>
              <c:strCache>
                <c:ptCount val="1"/>
                <c:pt idx="0">
                  <c:v>Commercial_EPO</c:v>
                </c:pt>
              </c:strCache>
            </c:strRef>
          </c:tx>
          <c:spPr>
            <a:solidFill>
              <a:schemeClr val="accent1">
                <a:lumMod val="60000"/>
                <a:lumOff val="40000"/>
              </a:schemeClr>
            </a:solidFill>
            <a:ln>
              <a:noFill/>
            </a:ln>
            <a:effectLst/>
          </c:spPr>
          <c:invertIfNegative val="0"/>
          <c:cat>
            <c:strRef>
              <c:f>'Pivot 4'!$A$3:$A$8</c:f>
              <c:strCache>
                <c:ptCount val="5"/>
                <c:pt idx="0">
                  <c:v>01. 0–30 days</c:v>
                </c:pt>
                <c:pt idx="1">
                  <c:v>02. 31–60 days</c:v>
                </c:pt>
                <c:pt idx="2">
                  <c:v>03. 61–90 days</c:v>
                </c:pt>
                <c:pt idx="3">
                  <c:v>04. 91–120 days</c:v>
                </c:pt>
                <c:pt idx="4">
                  <c:v>05. 120+ days</c:v>
                </c:pt>
              </c:strCache>
            </c:strRef>
          </c:cat>
          <c:val>
            <c:numRef>
              <c:f>'Pivot 4'!$B$3:$B$8</c:f>
              <c:numCache>
                <c:formatCode>"$"#,##0.00</c:formatCode>
                <c:ptCount val="5"/>
                <c:pt idx="0">
                  <c:v>62949.08</c:v>
                </c:pt>
                <c:pt idx="1">
                  <c:v>60291.76</c:v>
                </c:pt>
                <c:pt idx="2">
                  <c:v>44778.78</c:v>
                </c:pt>
                <c:pt idx="3">
                  <c:v>65490.590000000004</c:v>
                </c:pt>
                <c:pt idx="4">
                  <c:v>2406658.13</c:v>
                </c:pt>
              </c:numCache>
            </c:numRef>
          </c:val>
          <c:extLst>
            <c:ext xmlns:c16="http://schemas.microsoft.com/office/drawing/2014/chart" uri="{C3380CC4-5D6E-409C-BE32-E72D297353CC}">
              <c16:uniqueId val="{00000000-C0E2-B349-A0BB-1092314FF4CA}"/>
            </c:ext>
          </c:extLst>
        </c:ser>
        <c:ser>
          <c:idx val="1"/>
          <c:order val="1"/>
          <c:tx>
            <c:strRef>
              <c:f>'Pivot 4'!$C$1:$C$2</c:f>
              <c:strCache>
                <c:ptCount val="1"/>
                <c:pt idx="0">
                  <c:v>Commercial_HMO</c:v>
                </c:pt>
              </c:strCache>
            </c:strRef>
          </c:tx>
          <c:spPr>
            <a:solidFill>
              <a:schemeClr val="accent2"/>
            </a:solidFill>
            <a:ln>
              <a:noFill/>
            </a:ln>
            <a:effectLst/>
          </c:spPr>
          <c:invertIfNegative val="0"/>
          <c:cat>
            <c:strRef>
              <c:f>'Pivot 4'!$A$3:$A$8</c:f>
              <c:strCache>
                <c:ptCount val="5"/>
                <c:pt idx="0">
                  <c:v>01. 0–30 days</c:v>
                </c:pt>
                <c:pt idx="1">
                  <c:v>02. 31–60 days</c:v>
                </c:pt>
                <c:pt idx="2">
                  <c:v>03. 61–90 days</c:v>
                </c:pt>
                <c:pt idx="3">
                  <c:v>04. 91–120 days</c:v>
                </c:pt>
                <c:pt idx="4">
                  <c:v>05. 120+ days</c:v>
                </c:pt>
              </c:strCache>
            </c:strRef>
          </c:cat>
          <c:val>
            <c:numRef>
              <c:f>'Pivot 4'!$C$3:$C$8</c:f>
              <c:numCache>
                <c:formatCode>"$"#,##0.00</c:formatCode>
                <c:ptCount val="5"/>
                <c:pt idx="0">
                  <c:v>79376.5</c:v>
                </c:pt>
                <c:pt idx="1">
                  <c:v>124429.40999999999</c:v>
                </c:pt>
                <c:pt idx="2">
                  <c:v>129347.34</c:v>
                </c:pt>
                <c:pt idx="3">
                  <c:v>147776.19</c:v>
                </c:pt>
                <c:pt idx="4">
                  <c:v>4590572.33</c:v>
                </c:pt>
              </c:numCache>
            </c:numRef>
          </c:val>
          <c:extLst>
            <c:ext xmlns:c16="http://schemas.microsoft.com/office/drawing/2014/chart" uri="{C3380CC4-5D6E-409C-BE32-E72D297353CC}">
              <c16:uniqueId val="{00000001-C0E2-B349-A0BB-1092314FF4CA}"/>
            </c:ext>
          </c:extLst>
        </c:ser>
        <c:ser>
          <c:idx val="2"/>
          <c:order val="2"/>
          <c:tx>
            <c:strRef>
              <c:f>'Pivot 4'!$D$1:$D$2</c:f>
              <c:strCache>
                <c:ptCount val="1"/>
                <c:pt idx="0">
                  <c:v>Commercial_PPO</c:v>
                </c:pt>
              </c:strCache>
            </c:strRef>
          </c:tx>
          <c:spPr>
            <a:solidFill>
              <a:schemeClr val="accent2">
                <a:lumMod val="75000"/>
              </a:schemeClr>
            </a:solidFill>
            <a:ln>
              <a:noFill/>
            </a:ln>
            <a:effectLst/>
          </c:spPr>
          <c:invertIfNegative val="0"/>
          <c:cat>
            <c:strRef>
              <c:f>'Pivot 4'!$A$3:$A$8</c:f>
              <c:strCache>
                <c:ptCount val="5"/>
                <c:pt idx="0">
                  <c:v>01. 0–30 days</c:v>
                </c:pt>
                <c:pt idx="1">
                  <c:v>02. 31–60 days</c:v>
                </c:pt>
                <c:pt idx="2">
                  <c:v>03. 61–90 days</c:v>
                </c:pt>
                <c:pt idx="3">
                  <c:v>04. 91–120 days</c:v>
                </c:pt>
                <c:pt idx="4">
                  <c:v>05. 120+ days</c:v>
                </c:pt>
              </c:strCache>
            </c:strRef>
          </c:cat>
          <c:val>
            <c:numRef>
              <c:f>'Pivot 4'!$D$3:$D$8</c:f>
              <c:numCache>
                <c:formatCode>"$"#,##0.00</c:formatCode>
                <c:ptCount val="5"/>
                <c:pt idx="0">
                  <c:v>220985.87</c:v>
                </c:pt>
                <c:pt idx="1">
                  <c:v>299700.67</c:v>
                </c:pt>
                <c:pt idx="2">
                  <c:v>358209.36000000004</c:v>
                </c:pt>
                <c:pt idx="3">
                  <c:v>296882.81</c:v>
                </c:pt>
                <c:pt idx="4">
                  <c:v>9342945.8599999994</c:v>
                </c:pt>
              </c:numCache>
            </c:numRef>
          </c:val>
          <c:extLst>
            <c:ext xmlns:c16="http://schemas.microsoft.com/office/drawing/2014/chart" uri="{C3380CC4-5D6E-409C-BE32-E72D297353CC}">
              <c16:uniqueId val="{00000002-C0E2-B349-A0BB-1092314FF4CA}"/>
            </c:ext>
          </c:extLst>
        </c:ser>
        <c:ser>
          <c:idx val="3"/>
          <c:order val="3"/>
          <c:tx>
            <c:strRef>
              <c:f>'Pivot 4'!$E$1:$E$2</c:f>
              <c:strCache>
                <c:ptCount val="1"/>
                <c:pt idx="0">
                  <c:v>Medicaid_Managed</c:v>
                </c:pt>
              </c:strCache>
            </c:strRef>
          </c:tx>
          <c:spPr>
            <a:solidFill>
              <a:schemeClr val="accent1">
                <a:lumMod val="75000"/>
              </a:schemeClr>
            </a:solidFill>
            <a:ln>
              <a:noFill/>
            </a:ln>
            <a:effectLst/>
          </c:spPr>
          <c:invertIfNegative val="0"/>
          <c:cat>
            <c:strRef>
              <c:f>'Pivot 4'!$A$3:$A$8</c:f>
              <c:strCache>
                <c:ptCount val="5"/>
                <c:pt idx="0">
                  <c:v>01. 0–30 days</c:v>
                </c:pt>
                <c:pt idx="1">
                  <c:v>02. 31–60 days</c:v>
                </c:pt>
                <c:pt idx="2">
                  <c:v>03. 61–90 days</c:v>
                </c:pt>
                <c:pt idx="3">
                  <c:v>04. 91–120 days</c:v>
                </c:pt>
                <c:pt idx="4">
                  <c:v>05. 120+ days</c:v>
                </c:pt>
              </c:strCache>
            </c:strRef>
          </c:cat>
          <c:val>
            <c:numRef>
              <c:f>'Pivot 4'!$E$3:$E$8</c:f>
              <c:numCache>
                <c:formatCode>"$"#,##0.00</c:formatCode>
                <c:ptCount val="5"/>
                <c:pt idx="0">
                  <c:v>48116.299999999996</c:v>
                </c:pt>
                <c:pt idx="1">
                  <c:v>70085.2</c:v>
                </c:pt>
                <c:pt idx="2">
                  <c:v>65406.86</c:v>
                </c:pt>
                <c:pt idx="3">
                  <c:v>76682.14</c:v>
                </c:pt>
                <c:pt idx="4">
                  <c:v>2658196.4599999995</c:v>
                </c:pt>
              </c:numCache>
            </c:numRef>
          </c:val>
          <c:extLst>
            <c:ext xmlns:c16="http://schemas.microsoft.com/office/drawing/2014/chart" uri="{C3380CC4-5D6E-409C-BE32-E72D297353CC}">
              <c16:uniqueId val="{00000003-C0E2-B349-A0BB-1092314FF4CA}"/>
            </c:ext>
          </c:extLst>
        </c:ser>
        <c:ser>
          <c:idx val="4"/>
          <c:order val="4"/>
          <c:tx>
            <c:strRef>
              <c:f>'Pivot 4'!$F$1:$F$2</c:f>
              <c:strCache>
                <c:ptCount val="1"/>
                <c:pt idx="0">
                  <c:v>Medicare_Advantage</c:v>
                </c:pt>
              </c:strCache>
            </c:strRef>
          </c:tx>
          <c:spPr>
            <a:solidFill>
              <a:schemeClr val="tx2">
                <a:lumMod val="50000"/>
                <a:lumOff val="50000"/>
              </a:schemeClr>
            </a:solidFill>
            <a:ln>
              <a:noFill/>
            </a:ln>
            <a:effectLst/>
          </c:spPr>
          <c:invertIfNegative val="0"/>
          <c:cat>
            <c:strRef>
              <c:f>'Pivot 4'!$A$3:$A$8</c:f>
              <c:strCache>
                <c:ptCount val="5"/>
                <c:pt idx="0">
                  <c:v>01. 0–30 days</c:v>
                </c:pt>
                <c:pt idx="1">
                  <c:v>02. 31–60 days</c:v>
                </c:pt>
                <c:pt idx="2">
                  <c:v>03. 61–90 days</c:v>
                </c:pt>
                <c:pt idx="3">
                  <c:v>04. 91–120 days</c:v>
                </c:pt>
                <c:pt idx="4">
                  <c:v>05. 120+ days</c:v>
                </c:pt>
              </c:strCache>
            </c:strRef>
          </c:cat>
          <c:val>
            <c:numRef>
              <c:f>'Pivot 4'!$F$3:$F$8</c:f>
              <c:numCache>
                <c:formatCode>"$"#,##0.00</c:formatCode>
                <c:ptCount val="5"/>
                <c:pt idx="0">
                  <c:v>156828.45000000001</c:v>
                </c:pt>
                <c:pt idx="1">
                  <c:v>115129.70999999999</c:v>
                </c:pt>
                <c:pt idx="2">
                  <c:v>86215.01999999999</c:v>
                </c:pt>
                <c:pt idx="3">
                  <c:v>113073.23999999999</c:v>
                </c:pt>
                <c:pt idx="4">
                  <c:v>4714826.84</c:v>
                </c:pt>
              </c:numCache>
            </c:numRef>
          </c:val>
          <c:extLst>
            <c:ext xmlns:c16="http://schemas.microsoft.com/office/drawing/2014/chart" uri="{C3380CC4-5D6E-409C-BE32-E72D297353CC}">
              <c16:uniqueId val="{00000004-C0E2-B349-A0BB-1092314FF4CA}"/>
            </c:ext>
          </c:extLst>
        </c:ser>
        <c:ser>
          <c:idx val="5"/>
          <c:order val="5"/>
          <c:tx>
            <c:strRef>
              <c:f>'Pivot 4'!$G$1:$G$2</c:f>
              <c:strCache>
                <c:ptCount val="1"/>
                <c:pt idx="0">
                  <c:v>Medicare_FFS</c:v>
                </c:pt>
              </c:strCache>
            </c:strRef>
          </c:tx>
          <c:spPr>
            <a:solidFill>
              <a:schemeClr val="tx2">
                <a:lumMod val="10000"/>
                <a:lumOff val="90000"/>
              </a:schemeClr>
            </a:solidFill>
            <a:ln>
              <a:noFill/>
            </a:ln>
            <a:effectLst/>
          </c:spPr>
          <c:invertIfNegative val="0"/>
          <c:cat>
            <c:strRef>
              <c:f>'Pivot 4'!$A$3:$A$8</c:f>
              <c:strCache>
                <c:ptCount val="5"/>
                <c:pt idx="0">
                  <c:v>01. 0–30 days</c:v>
                </c:pt>
                <c:pt idx="1">
                  <c:v>02. 31–60 days</c:v>
                </c:pt>
                <c:pt idx="2">
                  <c:v>03. 61–90 days</c:v>
                </c:pt>
                <c:pt idx="3">
                  <c:v>04. 91–120 days</c:v>
                </c:pt>
                <c:pt idx="4">
                  <c:v>05. 120+ days</c:v>
                </c:pt>
              </c:strCache>
            </c:strRef>
          </c:cat>
          <c:val>
            <c:numRef>
              <c:f>'Pivot 4'!$G$3:$G$8</c:f>
              <c:numCache>
                <c:formatCode>"$"#,##0.00</c:formatCode>
                <c:ptCount val="5"/>
                <c:pt idx="0">
                  <c:v>176808.94</c:v>
                </c:pt>
                <c:pt idx="1">
                  <c:v>119228.48999999999</c:v>
                </c:pt>
                <c:pt idx="2">
                  <c:v>134210.14000000001</c:v>
                </c:pt>
                <c:pt idx="3">
                  <c:v>110193.40999999999</c:v>
                </c:pt>
                <c:pt idx="4">
                  <c:v>5629902.0499999998</c:v>
                </c:pt>
              </c:numCache>
            </c:numRef>
          </c:val>
          <c:extLst>
            <c:ext xmlns:c16="http://schemas.microsoft.com/office/drawing/2014/chart" uri="{C3380CC4-5D6E-409C-BE32-E72D297353CC}">
              <c16:uniqueId val="{00000005-C0E2-B349-A0BB-1092314FF4CA}"/>
            </c:ext>
          </c:extLst>
        </c:ser>
        <c:dLbls>
          <c:showLegendKey val="0"/>
          <c:showVal val="0"/>
          <c:showCatName val="0"/>
          <c:showSerName val="0"/>
          <c:showPercent val="0"/>
          <c:showBubbleSize val="0"/>
        </c:dLbls>
        <c:gapWidth val="150"/>
        <c:overlap val="100"/>
        <c:axId val="1788187456"/>
        <c:axId val="1788189248"/>
      </c:barChart>
      <c:catAx>
        <c:axId val="178818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788189248"/>
        <c:crosses val="autoZero"/>
        <c:auto val="1"/>
        <c:lblAlgn val="ctr"/>
        <c:lblOffset val="100"/>
        <c:noMultiLvlLbl val="0"/>
      </c:catAx>
      <c:valAx>
        <c:axId val="1788189248"/>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78818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[OF_RCM_Claims_Analytics_Dashboard.xlsx]Pivot_1!PivotTable8</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Calibri" panose="020F0502020204030204" pitchFamily="34" charset="0"/>
              </a:defRPr>
            </a:pPr>
            <a:r>
              <a:rPr lang="en-US" sz="1400" b="1" i="0" u="none" strike="noStrike" baseline="0">
                <a:solidFill>
                  <a:schemeClr val="tx1"/>
                </a:solidFill>
                <a:latin typeface="Calibri" panose="020F0502020204030204" pitchFamily="34" charset="0"/>
                <a:cs typeface="Calibri" panose="020F0502020204030204" pitchFamily="34" charset="0"/>
              </a:rPr>
              <a:t>Total Recoverable Revenue by Payer ($)</a:t>
            </a:r>
            <a:endParaRPr lang="en-US" b="1">
              <a:solidFill>
                <a:schemeClr val="tx1"/>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Pivot_1!$B$11</c:f>
              <c:strCache>
                <c:ptCount val="1"/>
                <c:pt idx="0">
                  <c:v>Total</c:v>
                </c:pt>
              </c:strCache>
            </c:strRef>
          </c:tx>
          <c:spPr>
            <a:solidFill>
              <a:schemeClr val="accent1"/>
            </a:solidFill>
            <a:ln>
              <a:noFill/>
            </a:ln>
            <a:effectLst/>
          </c:spPr>
          <c:invertIfNegative val="0"/>
          <c:cat>
            <c:strRef>
              <c:f>Pivot_1!$A$12:$A$18</c:f>
              <c:strCache>
                <c:ptCount val="6"/>
                <c:pt idx="0">
                  <c:v>Commercial_EPO</c:v>
                </c:pt>
                <c:pt idx="1">
                  <c:v>Medicaid_Managed</c:v>
                </c:pt>
                <c:pt idx="2">
                  <c:v>Commercial_HMO</c:v>
                </c:pt>
                <c:pt idx="3">
                  <c:v>Medicare_Advantage</c:v>
                </c:pt>
                <c:pt idx="4">
                  <c:v>Medicare_FFS</c:v>
                </c:pt>
                <c:pt idx="5">
                  <c:v>Commercial_PPO</c:v>
                </c:pt>
              </c:strCache>
            </c:strRef>
          </c:cat>
          <c:val>
            <c:numRef>
              <c:f>Pivot_1!$B$12:$B$18</c:f>
              <c:numCache>
                <c:formatCode>"$"#,##0.00</c:formatCode>
                <c:ptCount val="6"/>
                <c:pt idx="0">
                  <c:v>2640168.34</c:v>
                </c:pt>
                <c:pt idx="1">
                  <c:v>2918486.96</c:v>
                </c:pt>
                <c:pt idx="2">
                  <c:v>5071501.7699999996</c:v>
                </c:pt>
                <c:pt idx="3">
                  <c:v>5186073.26</c:v>
                </c:pt>
                <c:pt idx="4">
                  <c:v>6170343.0300000003</c:v>
                </c:pt>
                <c:pt idx="5">
                  <c:v>10518724.57</c:v>
                </c:pt>
              </c:numCache>
            </c:numRef>
          </c:val>
          <c:extLst>
            <c:ext xmlns:c16="http://schemas.microsoft.com/office/drawing/2014/chart" uri="{C3380CC4-5D6E-409C-BE32-E72D297353CC}">
              <c16:uniqueId val="{00000000-A165-8B4D-9553-0018FD112CFE}"/>
            </c:ext>
          </c:extLst>
        </c:ser>
        <c:dLbls>
          <c:showLegendKey val="0"/>
          <c:showVal val="0"/>
          <c:showCatName val="0"/>
          <c:showSerName val="0"/>
          <c:showPercent val="0"/>
          <c:showBubbleSize val="0"/>
        </c:dLbls>
        <c:gapWidth val="182"/>
        <c:axId val="1761945216"/>
        <c:axId val="1754255744"/>
      </c:barChart>
      <c:catAx>
        <c:axId val="176194521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4255744"/>
        <c:crosses val="autoZero"/>
        <c:auto val="1"/>
        <c:lblAlgn val="ctr"/>
        <c:lblOffset val="100"/>
        <c:noMultiLvlLbl val="0"/>
      </c:catAx>
      <c:valAx>
        <c:axId val="1754255744"/>
        <c:scaling>
          <c:orientation val="minMax"/>
        </c:scaling>
        <c:delete val="0"/>
        <c:axPos val="b"/>
        <c:majorGridlines>
          <c:spPr>
            <a:ln w="9525" cap="flat" cmpd="sng" algn="ctr">
              <a:noFill/>
              <a:round/>
            </a:ln>
            <a:effectLst/>
          </c:spPr>
        </c:majorGridlines>
        <c:numFmt formatCode="&quot;$&quot;#,##0,,\M"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194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[OF_RCM_Claims_Analytics_Dashboard.xlsx]Pivot_2!PivotTable4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1400" b="1" i="0" u="none" strike="noStrike" baseline="0">
                <a:solidFill>
                  <a:schemeClr val="tx1"/>
                </a:solidFill>
                <a:latin typeface="Calibri" panose="020F0502020204030204" pitchFamily="34" charset="0"/>
                <a:cs typeface="Calibri" panose="020F0502020204030204" pitchFamily="34" charset="0"/>
              </a:rPr>
              <a:t>Denial Root Cause by Recoverable Revenue ($)</a:t>
            </a:r>
            <a:endParaRPr lang="en-US" b="1">
              <a:solidFill>
                <a:schemeClr val="tx1"/>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Pivot_2!$B$1</c:f>
              <c:strCache>
                <c:ptCount val="1"/>
                <c:pt idx="0">
                  <c:v>Total</c:v>
                </c:pt>
              </c:strCache>
            </c:strRef>
          </c:tx>
          <c:spPr>
            <a:solidFill>
              <a:schemeClr val="accent1"/>
            </a:solidFill>
            <a:ln>
              <a:noFill/>
            </a:ln>
            <a:effectLst/>
          </c:spPr>
          <c:invertIfNegative val="0"/>
          <c:cat>
            <c:strRef>
              <c:f>Pivot_2!$A$2:$A$9</c:f>
              <c:strCache>
                <c:ptCount val="7"/>
                <c:pt idx="0">
                  <c:v>duplicate</c:v>
                </c:pt>
                <c:pt idx="1">
                  <c:v>timely_filing</c:v>
                </c:pt>
                <c:pt idx="2">
                  <c:v>bundling</c:v>
                </c:pt>
                <c:pt idx="3">
                  <c:v>eligibility</c:v>
                </c:pt>
                <c:pt idx="4">
                  <c:v>auth_missing</c:v>
                </c:pt>
                <c:pt idx="5">
                  <c:v>medical_necessity</c:v>
                </c:pt>
                <c:pt idx="6">
                  <c:v>coding_error</c:v>
                </c:pt>
              </c:strCache>
            </c:strRef>
          </c:cat>
          <c:val>
            <c:numRef>
              <c:f>Pivot_2!$B$2:$B$9</c:f>
              <c:numCache>
                <c:formatCode>"$"#,##0.00</c:formatCode>
                <c:ptCount val="7"/>
                <c:pt idx="0">
                  <c:v>0</c:v>
                </c:pt>
                <c:pt idx="1">
                  <c:v>0</c:v>
                </c:pt>
                <c:pt idx="2">
                  <c:v>2253115.2599999998</c:v>
                </c:pt>
                <c:pt idx="3">
                  <c:v>2523871.17</c:v>
                </c:pt>
                <c:pt idx="4">
                  <c:v>5635188.0999999996</c:v>
                </c:pt>
                <c:pt idx="5">
                  <c:v>9881803.1300000008</c:v>
                </c:pt>
                <c:pt idx="6">
                  <c:v>12211320.27</c:v>
                </c:pt>
              </c:numCache>
            </c:numRef>
          </c:val>
          <c:extLst>
            <c:ext xmlns:c16="http://schemas.microsoft.com/office/drawing/2014/chart" uri="{C3380CC4-5D6E-409C-BE32-E72D297353CC}">
              <c16:uniqueId val="{00000000-6D69-2644-AB86-1959B8BDCEF8}"/>
            </c:ext>
          </c:extLst>
        </c:ser>
        <c:dLbls>
          <c:showLegendKey val="0"/>
          <c:showVal val="0"/>
          <c:showCatName val="0"/>
          <c:showSerName val="0"/>
          <c:showPercent val="0"/>
          <c:showBubbleSize val="0"/>
        </c:dLbls>
        <c:gapWidth val="219"/>
        <c:axId val="1754265600"/>
        <c:axId val="1754264704"/>
      </c:barChart>
      <c:catAx>
        <c:axId val="17542656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4264704"/>
        <c:crosses val="autoZero"/>
        <c:auto val="1"/>
        <c:lblAlgn val="ctr"/>
        <c:lblOffset val="100"/>
        <c:noMultiLvlLbl val="0"/>
      </c:catAx>
      <c:valAx>
        <c:axId val="1754264704"/>
        <c:scaling>
          <c:orientation val="minMax"/>
        </c:scaling>
        <c:delete val="0"/>
        <c:axPos val="b"/>
        <c:majorGridlines>
          <c:spPr>
            <a:ln w="9525" cap="flat" cmpd="sng" algn="ctr">
              <a:noFill/>
              <a:round/>
            </a:ln>
            <a:effectLst/>
          </c:spPr>
        </c:majorGridlines>
        <c:numFmt formatCode="&quot;$&quot;#,##0,,\M"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426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[OF_RCM_Claims_Analytics_Dashboard.xlsx]Pivot_2!PivotTable5</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1400" b="1" i="0" u="none" strike="noStrike" baseline="0">
                <a:solidFill>
                  <a:schemeClr val="tx1"/>
                </a:solidFill>
                <a:latin typeface="Calibri" panose="020F0502020204030204" pitchFamily="34" charset="0"/>
                <a:cs typeface="Calibri" panose="020F0502020204030204" pitchFamily="34" charset="0"/>
              </a:rPr>
              <a:t>Revenue Recovery Pipeline by Resolution Action</a:t>
            </a:r>
            <a:endParaRPr lang="en-US" b="1">
              <a:solidFill>
                <a:schemeClr val="tx1"/>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Pivot_2!$B$12</c:f>
              <c:strCache>
                <c:ptCount val="1"/>
                <c:pt idx="0">
                  <c:v>Total</c:v>
                </c:pt>
              </c:strCache>
            </c:strRef>
          </c:tx>
          <c:spPr>
            <a:solidFill>
              <a:schemeClr val="accent1"/>
            </a:solidFill>
            <a:ln>
              <a:noFill/>
            </a:ln>
            <a:effectLst/>
          </c:spPr>
          <c:invertIfNegative val="0"/>
          <c:cat>
            <c:strRef>
              <c:f>Pivot_2!$A$13:$A$18</c:f>
              <c:strCache>
                <c:ptCount val="5"/>
                <c:pt idx="0">
                  <c:v>writeoff</c:v>
                </c:pt>
                <c:pt idx="1">
                  <c:v>verify_eligibility_resubmit</c:v>
                </c:pt>
                <c:pt idx="2">
                  <c:v>obtain_auth_and_resubmit</c:v>
                </c:pt>
                <c:pt idx="3">
                  <c:v>appeal</c:v>
                </c:pt>
                <c:pt idx="4">
                  <c:v>recode_and_resubmit</c:v>
                </c:pt>
              </c:strCache>
            </c:strRef>
          </c:cat>
          <c:val>
            <c:numRef>
              <c:f>Pivot_2!$B$13:$B$18</c:f>
              <c:numCache>
                <c:formatCode>"$"#,##0.00</c:formatCode>
                <c:ptCount val="5"/>
                <c:pt idx="0">
                  <c:v>0</c:v>
                </c:pt>
                <c:pt idx="1">
                  <c:v>2523871.17</c:v>
                </c:pt>
                <c:pt idx="2">
                  <c:v>5635188.0999999996</c:v>
                </c:pt>
                <c:pt idx="3">
                  <c:v>9881803.1300000008</c:v>
                </c:pt>
                <c:pt idx="4">
                  <c:v>14464435.529999997</c:v>
                </c:pt>
              </c:numCache>
            </c:numRef>
          </c:val>
          <c:extLst>
            <c:ext xmlns:c16="http://schemas.microsoft.com/office/drawing/2014/chart" uri="{C3380CC4-5D6E-409C-BE32-E72D297353CC}">
              <c16:uniqueId val="{00000000-054D-2949-B324-70E9FAD96BFC}"/>
            </c:ext>
          </c:extLst>
        </c:ser>
        <c:dLbls>
          <c:showLegendKey val="0"/>
          <c:showVal val="0"/>
          <c:showCatName val="0"/>
          <c:showSerName val="0"/>
          <c:showPercent val="0"/>
          <c:showBubbleSize val="0"/>
        </c:dLbls>
        <c:gapWidth val="150"/>
        <c:axId val="1770675648"/>
        <c:axId val="1742304832"/>
      </c:barChart>
      <c:catAx>
        <c:axId val="177067564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742304832"/>
        <c:crosses val="autoZero"/>
        <c:auto val="1"/>
        <c:lblAlgn val="ctr"/>
        <c:lblOffset val="100"/>
        <c:noMultiLvlLbl val="0"/>
      </c:catAx>
      <c:valAx>
        <c:axId val="1742304832"/>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77067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[OF_RCM_Claims_Analytics_Dashboard.xlsx]Pivot 4!PivotTable13</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solidFill>
                  <a:schemeClr val="tx1"/>
                </a:solidFill>
              </a:rPr>
              <a:t>Average Days Open vs. Payer Benchmark Turnaround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4'!$B$10</c:f>
              <c:strCache>
                <c:ptCount val="1"/>
                <c:pt idx="0">
                  <c:v>Average of avg_days_open</c:v>
                </c:pt>
              </c:strCache>
            </c:strRef>
          </c:tx>
          <c:spPr>
            <a:solidFill>
              <a:schemeClr val="accent1"/>
            </a:solidFill>
            <a:ln>
              <a:noFill/>
            </a:ln>
            <a:effectLst/>
          </c:spPr>
          <c:invertIfNegative val="0"/>
          <c:cat>
            <c:strRef>
              <c:f>'Pivot 4'!$A$11:$A$17</c:f>
              <c:strCache>
                <c:ptCount val="6"/>
                <c:pt idx="0">
                  <c:v>Commercial_EPO</c:v>
                </c:pt>
                <c:pt idx="1">
                  <c:v>Commercial_PPO</c:v>
                </c:pt>
                <c:pt idx="2">
                  <c:v>Medicaid_Managed</c:v>
                </c:pt>
                <c:pt idx="3">
                  <c:v>Commercial_HMO</c:v>
                </c:pt>
                <c:pt idx="4">
                  <c:v>Medicare_FFS</c:v>
                </c:pt>
                <c:pt idx="5">
                  <c:v>Medicare_Advantage</c:v>
                </c:pt>
              </c:strCache>
            </c:strRef>
          </c:cat>
          <c:val>
            <c:numRef>
              <c:f>'Pivot 4'!$B$11:$B$17</c:f>
              <c:numCache>
                <c:formatCode>0.00</c:formatCode>
                <c:ptCount val="6"/>
                <c:pt idx="0">
                  <c:v>187.65384615384616</c:v>
                </c:pt>
                <c:pt idx="1">
                  <c:v>187.74</c:v>
                </c:pt>
                <c:pt idx="2">
                  <c:v>187.77692307692308</c:v>
                </c:pt>
                <c:pt idx="3">
                  <c:v>187.82769230769236</c:v>
                </c:pt>
                <c:pt idx="4">
                  <c:v>188.66615384615386</c:v>
                </c:pt>
                <c:pt idx="5">
                  <c:v>188.80769230769229</c:v>
                </c:pt>
              </c:numCache>
            </c:numRef>
          </c:val>
          <c:extLst>
            <c:ext xmlns:c16="http://schemas.microsoft.com/office/drawing/2014/chart" uri="{C3380CC4-5D6E-409C-BE32-E72D297353CC}">
              <c16:uniqueId val="{00000000-ED50-C14E-AB91-2525326DEBFF}"/>
            </c:ext>
          </c:extLst>
        </c:ser>
        <c:ser>
          <c:idx val="1"/>
          <c:order val="1"/>
          <c:tx>
            <c:strRef>
              <c:f>'Pivot 4'!$C$10</c:f>
              <c:strCache>
                <c:ptCount val="1"/>
                <c:pt idx="0">
                  <c:v>Average of payer_benchmark_turnaround_days</c:v>
                </c:pt>
              </c:strCache>
            </c:strRef>
          </c:tx>
          <c:spPr>
            <a:solidFill>
              <a:schemeClr val="accent2"/>
            </a:solidFill>
            <a:ln>
              <a:noFill/>
            </a:ln>
            <a:effectLst/>
          </c:spPr>
          <c:invertIfNegative val="0"/>
          <c:cat>
            <c:strRef>
              <c:f>'Pivot 4'!$A$11:$A$17</c:f>
              <c:strCache>
                <c:ptCount val="6"/>
                <c:pt idx="0">
                  <c:v>Commercial_EPO</c:v>
                </c:pt>
                <c:pt idx="1">
                  <c:v>Commercial_PPO</c:v>
                </c:pt>
                <c:pt idx="2">
                  <c:v>Medicaid_Managed</c:v>
                </c:pt>
                <c:pt idx="3">
                  <c:v>Commercial_HMO</c:v>
                </c:pt>
                <c:pt idx="4">
                  <c:v>Medicare_FFS</c:v>
                </c:pt>
                <c:pt idx="5">
                  <c:v>Medicare_Advantage</c:v>
                </c:pt>
              </c:strCache>
            </c:strRef>
          </c:cat>
          <c:val>
            <c:numRef>
              <c:f>'Pivot 4'!$C$11:$C$17</c:f>
              <c:numCache>
                <c:formatCode>0.00</c:formatCode>
                <c:ptCount val="6"/>
                <c:pt idx="0">
                  <c:v>32.190769230769241</c:v>
                </c:pt>
                <c:pt idx="1">
                  <c:v>30.270769230769233</c:v>
                </c:pt>
                <c:pt idx="2">
                  <c:v>26.273846153846158</c:v>
                </c:pt>
                <c:pt idx="3">
                  <c:v>28.081538461538461</c:v>
                </c:pt>
                <c:pt idx="4">
                  <c:v>31.089230769230777</c:v>
                </c:pt>
                <c:pt idx="5">
                  <c:v>31.343076923076922</c:v>
                </c:pt>
              </c:numCache>
            </c:numRef>
          </c:val>
          <c:extLst>
            <c:ext xmlns:c16="http://schemas.microsoft.com/office/drawing/2014/chart" uri="{C3380CC4-5D6E-409C-BE32-E72D297353CC}">
              <c16:uniqueId val="{00000001-ED50-C14E-AB91-2525326DEBFF}"/>
            </c:ext>
          </c:extLst>
        </c:ser>
        <c:dLbls>
          <c:showLegendKey val="0"/>
          <c:showVal val="0"/>
          <c:showCatName val="0"/>
          <c:showSerName val="0"/>
          <c:showPercent val="0"/>
          <c:showBubbleSize val="0"/>
        </c:dLbls>
        <c:gapWidth val="219"/>
        <c:overlap val="-27"/>
        <c:axId val="1726634560"/>
        <c:axId val="1920696768"/>
      </c:barChart>
      <c:catAx>
        <c:axId val="172663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20696768"/>
        <c:crosses val="autoZero"/>
        <c:auto val="1"/>
        <c:lblAlgn val="ctr"/>
        <c:lblOffset val="100"/>
        <c:noMultiLvlLbl val="0"/>
      </c:catAx>
      <c:valAx>
        <c:axId val="192069676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663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[OF_RCM_Claims_Analytics_Dashboard.xlsx]Pivot_3!PivotTable9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tx1"/>
                </a:solidFill>
                <a:latin typeface="Calibri" panose="020F0502020204030204" pitchFamily="34" charset="0"/>
                <a:cs typeface="Calibri" panose="020F0502020204030204" pitchFamily="34" charset="0"/>
              </a:rPr>
              <a:t>At-Risk Revenue Exposure by Provider Specialty ($)</a:t>
            </a:r>
            <a:endParaRPr lang="en-US">
              <a:solidFill>
                <a:schemeClr val="tx1"/>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Pivot_3!$B$1</c:f>
              <c:strCache>
                <c:ptCount val="1"/>
                <c:pt idx="0">
                  <c:v>Total</c:v>
                </c:pt>
              </c:strCache>
            </c:strRef>
          </c:tx>
          <c:spPr>
            <a:solidFill>
              <a:schemeClr val="accent1"/>
            </a:solidFill>
            <a:ln>
              <a:noFill/>
            </a:ln>
            <a:effectLst/>
          </c:spPr>
          <c:invertIfNegative val="0"/>
          <c:cat>
            <c:strRef>
              <c:f>Pivot_3!$A$2:$A$9</c:f>
              <c:strCache>
                <c:ptCount val="7"/>
                <c:pt idx="0">
                  <c:v>Orthopedic_Surgery</c:v>
                </c:pt>
                <c:pt idx="1">
                  <c:v>Cardiology</c:v>
                </c:pt>
                <c:pt idx="2">
                  <c:v>Obstetrics_Gynecology</c:v>
                </c:pt>
                <c:pt idx="3">
                  <c:v>Oncology</c:v>
                </c:pt>
                <c:pt idx="4">
                  <c:v>Gastroenterology</c:v>
                </c:pt>
                <c:pt idx="5">
                  <c:v>Emergency_Medicine</c:v>
                </c:pt>
                <c:pt idx="6">
                  <c:v>Pulmonology</c:v>
                </c:pt>
              </c:strCache>
            </c:strRef>
          </c:cat>
          <c:val>
            <c:numRef>
              <c:f>Pivot_3!$B$2:$B$9</c:f>
              <c:numCache>
                <c:formatCode>_("$"* #,##0.00_);_("$"* \(#,##0.00\);_("$"* "-"??_);_(@_)</c:formatCode>
                <c:ptCount val="7"/>
                <c:pt idx="0">
                  <c:v>10251793.060000001</c:v>
                </c:pt>
                <c:pt idx="1">
                  <c:v>5389714.5099999998</c:v>
                </c:pt>
                <c:pt idx="2">
                  <c:v>3574853.48</c:v>
                </c:pt>
                <c:pt idx="3">
                  <c:v>1892612.23</c:v>
                </c:pt>
                <c:pt idx="4">
                  <c:v>1600006.81</c:v>
                </c:pt>
                <c:pt idx="5">
                  <c:v>1449393.0899999999</c:v>
                </c:pt>
                <c:pt idx="6">
                  <c:v>708239.95</c:v>
                </c:pt>
              </c:numCache>
            </c:numRef>
          </c:val>
          <c:extLst>
            <c:ext xmlns:c16="http://schemas.microsoft.com/office/drawing/2014/chart" uri="{C3380CC4-5D6E-409C-BE32-E72D297353CC}">
              <c16:uniqueId val="{00000000-B088-9F48-91CD-FC1900FFBB3D}"/>
            </c:ext>
          </c:extLst>
        </c:ser>
        <c:dLbls>
          <c:showLegendKey val="0"/>
          <c:showVal val="0"/>
          <c:showCatName val="0"/>
          <c:showSerName val="0"/>
          <c:showPercent val="0"/>
          <c:showBubbleSize val="0"/>
        </c:dLbls>
        <c:gapWidth val="219"/>
        <c:overlap val="-27"/>
        <c:axId val="1786058432"/>
        <c:axId val="1725046656"/>
      </c:barChart>
      <c:catAx>
        <c:axId val="17860584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5046656"/>
        <c:crosses val="autoZero"/>
        <c:auto val="1"/>
        <c:lblAlgn val="ctr"/>
        <c:lblOffset val="100"/>
        <c:noMultiLvlLbl val="0"/>
      </c:catAx>
      <c:valAx>
        <c:axId val="1725046656"/>
        <c:scaling>
          <c:orientation val="minMax"/>
        </c:scaling>
        <c:delete val="0"/>
        <c:axPos val="l"/>
        <c:numFmt formatCode="&quot;$&quot;#,##0,,\M"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6058432"/>
        <c:crosses val="autoZero"/>
        <c:crossBetween val="between"/>
      </c:valAx>
      <c:spPr>
        <a:noFill/>
        <a:ln>
          <a:noFill/>
        </a:ln>
        <a:effectLst/>
      </c:spPr>
    </c:plotArea>
    <c:legend>
      <c:legendPos val="r"/>
      <c:legendEntry>
        <c:idx val="0"/>
        <c:delete val="1"/>
      </c:legendEntry>
      <c:layout>
        <c:manualLayout>
          <c:xMode val="edge"/>
          <c:yMode val="edge"/>
          <c:x val="0.67464503599248482"/>
          <c:y val="0.4385769074124356"/>
          <c:w val="1.488095238095238E-2"/>
          <c:h val="1.297577854671280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[OF_RCM_Claims_Analytics_Dashboard.xlsx]Pivot_1!PivotTable8</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Calibri" panose="020F0502020204030204" pitchFamily="34" charset="0"/>
              </a:defRPr>
            </a:pPr>
            <a:r>
              <a:rPr lang="en-US" sz="1400" b="1" i="0" u="none" strike="noStrike" baseline="0">
                <a:solidFill>
                  <a:schemeClr val="tx1"/>
                </a:solidFill>
                <a:latin typeface="Calibri" panose="020F0502020204030204" pitchFamily="34" charset="0"/>
                <a:cs typeface="Calibri" panose="020F0502020204030204" pitchFamily="34" charset="0"/>
              </a:rPr>
              <a:t>Total Recoverable Revenue by Payer ($)</a:t>
            </a:r>
            <a:endParaRPr lang="en-US" b="1">
              <a:solidFill>
                <a:schemeClr val="tx1"/>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Pivot_1!$B$11</c:f>
              <c:strCache>
                <c:ptCount val="1"/>
                <c:pt idx="0">
                  <c:v>Total</c:v>
                </c:pt>
              </c:strCache>
            </c:strRef>
          </c:tx>
          <c:spPr>
            <a:solidFill>
              <a:schemeClr val="accent1"/>
            </a:solidFill>
            <a:ln>
              <a:noFill/>
            </a:ln>
            <a:effectLst/>
          </c:spPr>
          <c:invertIfNegative val="0"/>
          <c:cat>
            <c:strRef>
              <c:f>Pivot_1!$A$12:$A$18</c:f>
              <c:strCache>
                <c:ptCount val="6"/>
                <c:pt idx="0">
                  <c:v>Commercial_EPO</c:v>
                </c:pt>
                <c:pt idx="1">
                  <c:v>Medicaid_Managed</c:v>
                </c:pt>
                <c:pt idx="2">
                  <c:v>Commercial_HMO</c:v>
                </c:pt>
                <c:pt idx="3">
                  <c:v>Medicare_Advantage</c:v>
                </c:pt>
                <c:pt idx="4">
                  <c:v>Medicare_FFS</c:v>
                </c:pt>
                <c:pt idx="5">
                  <c:v>Commercial_PPO</c:v>
                </c:pt>
              </c:strCache>
            </c:strRef>
          </c:cat>
          <c:val>
            <c:numRef>
              <c:f>Pivot_1!$B$12:$B$18</c:f>
              <c:numCache>
                <c:formatCode>"$"#,##0.00</c:formatCode>
                <c:ptCount val="6"/>
                <c:pt idx="0">
                  <c:v>2640168.34</c:v>
                </c:pt>
                <c:pt idx="1">
                  <c:v>2918486.96</c:v>
                </c:pt>
                <c:pt idx="2">
                  <c:v>5071501.7699999996</c:v>
                </c:pt>
                <c:pt idx="3">
                  <c:v>5186073.26</c:v>
                </c:pt>
                <c:pt idx="4">
                  <c:v>6170343.0300000003</c:v>
                </c:pt>
                <c:pt idx="5">
                  <c:v>10518724.57</c:v>
                </c:pt>
              </c:numCache>
            </c:numRef>
          </c:val>
          <c:extLst>
            <c:ext xmlns:c16="http://schemas.microsoft.com/office/drawing/2014/chart" uri="{C3380CC4-5D6E-409C-BE32-E72D297353CC}">
              <c16:uniqueId val="{00000000-4A0A-714A-91EC-F368DB8C648F}"/>
            </c:ext>
          </c:extLst>
        </c:ser>
        <c:dLbls>
          <c:showLegendKey val="0"/>
          <c:showVal val="0"/>
          <c:showCatName val="0"/>
          <c:showSerName val="0"/>
          <c:showPercent val="0"/>
          <c:showBubbleSize val="0"/>
        </c:dLbls>
        <c:gapWidth val="182"/>
        <c:axId val="1761945216"/>
        <c:axId val="1754255744"/>
      </c:barChart>
      <c:catAx>
        <c:axId val="176194521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4255744"/>
        <c:crosses val="autoZero"/>
        <c:auto val="1"/>
        <c:lblAlgn val="ctr"/>
        <c:lblOffset val="100"/>
        <c:noMultiLvlLbl val="0"/>
      </c:catAx>
      <c:valAx>
        <c:axId val="1754255744"/>
        <c:scaling>
          <c:orientation val="minMax"/>
        </c:scaling>
        <c:delete val="0"/>
        <c:axPos val="b"/>
        <c:majorGridlines>
          <c:spPr>
            <a:ln w="9525" cap="flat" cmpd="sng" algn="ctr">
              <a:no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194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[OF_RCM_Claims_Analytics_Dashboard.xlsx]Pivot_2!PivotTable4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1400" b="0" i="0" u="none" strike="noStrike" baseline="0">
                <a:solidFill>
                  <a:schemeClr val="tx1"/>
                </a:solidFill>
                <a:latin typeface="Calibri" panose="020F0502020204030204" pitchFamily="34" charset="0"/>
                <a:cs typeface="Calibri" panose="020F0502020204030204" pitchFamily="34" charset="0"/>
              </a:rPr>
              <a:t>Denial Root Cause by Recoverable Revenue ($)</a:t>
            </a:r>
            <a:endParaRPr lang="en-US">
              <a:solidFill>
                <a:schemeClr val="tx1"/>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Pivot_2!$B$1</c:f>
              <c:strCache>
                <c:ptCount val="1"/>
                <c:pt idx="0">
                  <c:v>Total</c:v>
                </c:pt>
              </c:strCache>
            </c:strRef>
          </c:tx>
          <c:spPr>
            <a:solidFill>
              <a:schemeClr val="accent1"/>
            </a:solidFill>
            <a:ln>
              <a:noFill/>
            </a:ln>
            <a:effectLst/>
          </c:spPr>
          <c:invertIfNegative val="0"/>
          <c:cat>
            <c:strRef>
              <c:f>Pivot_2!$A$2:$A$9</c:f>
              <c:strCache>
                <c:ptCount val="7"/>
                <c:pt idx="0">
                  <c:v>duplicate</c:v>
                </c:pt>
                <c:pt idx="1">
                  <c:v>timely_filing</c:v>
                </c:pt>
                <c:pt idx="2">
                  <c:v>bundling</c:v>
                </c:pt>
                <c:pt idx="3">
                  <c:v>eligibility</c:v>
                </c:pt>
                <c:pt idx="4">
                  <c:v>auth_missing</c:v>
                </c:pt>
                <c:pt idx="5">
                  <c:v>medical_necessity</c:v>
                </c:pt>
                <c:pt idx="6">
                  <c:v>coding_error</c:v>
                </c:pt>
              </c:strCache>
            </c:strRef>
          </c:cat>
          <c:val>
            <c:numRef>
              <c:f>Pivot_2!$B$2:$B$9</c:f>
              <c:numCache>
                <c:formatCode>"$"#,##0.00</c:formatCode>
                <c:ptCount val="7"/>
                <c:pt idx="0">
                  <c:v>0</c:v>
                </c:pt>
                <c:pt idx="1">
                  <c:v>0</c:v>
                </c:pt>
                <c:pt idx="2">
                  <c:v>2253115.2599999998</c:v>
                </c:pt>
                <c:pt idx="3">
                  <c:v>2523871.17</c:v>
                </c:pt>
                <c:pt idx="4">
                  <c:v>5635188.0999999996</c:v>
                </c:pt>
                <c:pt idx="5">
                  <c:v>9881803.1300000008</c:v>
                </c:pt>
                <c:pt idx="6">
                  <c:v>12211320.27</c:v>
                </c:pt>
              </c:numCache>
            </c:numRef>
          </c:val>
          <c:extLst>
            <c:ext xmlns:c16="http://schemas.microsoft.com/office/drawing/2014/chart" uri="{C3380CC4-5D6E-409C-BE32-E72D297353CC}">
              <c16:uniqueId val="{00000000-41CA-0843-BD5A-D62E3C4009CF}"/>
            </c:ext>
          </c:extLst>
        </c:ser>
        <c:dLbls>
          <c:showLegendKey val="0"/>
          <c:showVal val="0"/>
          <c:showCatName val="0"/>
          <c:showSerName val="0"/>
          <c:showPercent val="0"/>
          <c:showBubbleSize val="0"/>
        </c:dLbls>
        <c:gapWidth val="219"/>
        <c:axId val="1754265600"/>
        <c:axId val="1754264704"/>
      </c:barChart>
      <c:catAx>
        <c:axId val="17542656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4264704"/>
        <c:crosses val="autoZero"/>
        <c:auto val="1"/>
        <c:lblAlgn val="ctr"/>
        <c:lblOffset val="100"/>
        <c:noMultiLvlLbl val="0"/>
      </c:catAx>
      <c:valAx>
        <c:axId val="1754264704"/>
        <c:scaling>
          <c:orientation val="minMax"/>
        </c:scaling>
        <c:delete val="0"/>
        <c:axPos val="b"/>
        <c:majorGridlines>
          <c:spPr>
            <a:ln w="9525" cap="flat" cmpd="sng" algn="ctr">
              <a:noFill/>
              <a:round/>
            </a:ln>
            <a:effectLst/>
          </c:spPr>
        </c:majorGridlines>
        <c:numFmt formatCode="&quot;$&quot;#,##0,,\M"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426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[OF_RCM_Claims_Analytics_Dashboard.xlsx]Pivot_2!PivotTable5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1400" b="1" i="0" u="none" strike="noStrike" baseline="0">
                <a:solidFill>
                  <a:schemeClr val="tx1"/>
                </a:solidFill>
                <a:latin typeface="Calibri" panose="020F0502020204030204" pitchFamily="34" charset="0"/>
                <a:cs typeface="Calibri" panose="020F0502020204030204" pitchFamily="34" charset="0"/>
              </a:rPr>
              <a:t>Revenue Recovery Pipeline by Resolution Action</a:t>
            </a:r>
            <a:endParaRPr lang="en-US" b="1">
              <a:solidFill>
                <a:schemeClr val="tx1"/>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Pivot_2!$B$12</c:f>
              <c:strCache>
                <c:ptCount val="1"/>
                <c:pt idx="0">
                  <c:v>Total</c:v>
                </c:pt>
              </c:strCache>
            </c:strRef>
          </c:tx>
          <c:spPr>
            <a:solidFill>
              <a:schemeClr val="accent1"/>
            </a:solidFill>
            <a:ln>
              <a:noFill/>
            </a:ln>
            <a:effectLst/>
          </c:spPr>
          <c:invertIfNegative val="0"/>
          <c:cat>
            <c:strRef>
              <c:f>Pivot_2!$A$13:$A$18</c:f>
              <c:strCache>
                <c:ptCount val="5"/>
                <c:pt idx="0">
                  <c:v>writeoff</c:v>
                </c:pt>
                <c:pt idx="1">
                  <c:v>verify_eligibility_resubmit</c:v>
                </c:pt>
                <c:pt idx="2">
                  <c:v>obtain_auth_and_resubmit</c:v>
                </c:pt>
                <c:pt idx="3">
                  <c:v>appeal</c:v>
                </c:pt>
                <c:pt idx="4">
                  <c:v>recode_and_resubmit</c:v>
                </c:pt>
              </c:strCache>
            </c:strRef>
          </c:cat>
          <c:val>
            <c:numRef>
              <c:f>Pivot_2!$B$13:$B$18</c:f>
              <c:numCache>
                <c:formatCode>"$"#,##0.00</c:formatCode>
                <c:ptCount val="5"/>
                <c:pt idx="0">
                  <c:v>0</c:v>
                </c:pt>
                <c:pt idx="1">
                  <c:v>2523871.17</c:v>
                </c:pt>
                <c:pt idx="2">
                  <c:v>5635188.0999999996</c:v>
                </c:pt>
                <c:pt idx="3">
                  <c:v>9881803.1300000008</c:v>
                </c:pt>
                <c:pt idx="4">
                  <c:v>14464435.529999997</c:v>
                </c:pt>
              </c:numCache>
            </c:numRef>
          </c:val>
          <c:extLst>
            <c:ext xmlns:c16="http://schemas.microsoft.com/office/drawing/2014/chart" uri="{C3380CC4-5D6E-409C-BE32-E72D297353CC}">
              <c16:uniqueId val="{00000000-A574-564A-B275-B49405DEADC2}"/>
            </c:ext>
          </c:extLst>
        </c:ser>
        <c:dLbls>
          <c:showLegendKey val="0"/>
          <c:showVal val="0"/>
          <c:showCatName val="0"/>
          <c:showSerName val="0"/>
          <c:showPercent val="0"/>
          <c:showBubbleSize val="0"/>
        </c:dLbls>
        <c:gapWidth val="150"/>
        <c:axId val="1770675648"/>
        <c:axId val="1742304832"/>
      </c:barChart>
      <c:catAx>
        <c:axId val="177067564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742304832"/>
        <c:crosses val="autoZero"/>
        <c:auto val="1"/>
        <c:lblAlgn val="ctr"/>
        <c:lblOffset val="100"/>
        <c:noMultiLvlLbl val="0"/>
      </c:catAx>
      <c:valAx>
        <c:axId val="1742304832"/>
        <c:scaling>
          <c:orientation val="minMax"/>
        </c:scaling>
        <c:delete val="0"/>
        <c:axPos val="b"/>
        <c:numFmt formatCode="&quot;$&quot;#,##0,,\M"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77067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[OF_RCM_Claims_Analytics_Dashboard.xlsx]Pivot_3!PivotTable9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tx1"/>
                </a:solidFill>
                <a:latin typeface="Calibri" panose="020F0502020204030204" pitchFamily="34" charset="0"/>
                <a:cs typeface="Calibri" panose="020F0502020204030204" pitchFamily="34" charset="0"/>
              </a:rPr>
              <a:t>At-Risk Revenue Exposure by Provider Specialty ($)</a:t>
            </a:r>
            <a:endParaRPr lang="en-US">
              <a:solidFill>
                <a:schemeClr val="tx1"/>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Pivot_3!$B$1</c:f>
              <c:strCache>
                <c:ptCount val="1"/>
                <c:pt idx="0">
                  <c:v>Total</c:v>
                </c:pt>
              </c:strCache>
            </c:strRef>
          </c:tx>
          <c:spPr>
            <a:solidFill>
              <a:schemeClr val="accent1"/>
            </a:solidFill>
            <a:ln>
              <a:noFill/>
            </a:ln>
            <a:effectLst/>
          </c:spPr>
          <c:invertIfNegative val="0"/>
          <c:cat>
            <c:strRef>
              <c:f>Pivot_3!$A$2:$A$9</c:f>
              <c:strCache>
                <c:ptCount val="7"/>
                <c:pt idx="0">
                  <c:v>Orthopedic_Surgery</c:v>
                </c:pt>
                <c:pt idx="1">
                  <c:v>Cardiology</c:v>
                </c:pt>
                <c:pt idx="2">
                  <c:v>Obstetrics_Gynecology</c:v>
                </c:pt>
                <c:pt idx="3">
                  <c:v>Oncology</c:v>
                </c:pt>
                <c:pt idx="4">
                  <c:v>Gastroenterology</c:v>
                </c:pt>
                <c:pt idx="5">
                  <c:v>Emergency_Medicine</c:v>
                </c:pt>
                <c:pt idx="6">
                  <c:v>Pulmonology</c:v>
                </c:pt>
              </c:strCache>
            </c:strRef>
          </c:cat>
          <c:val>
            <c:numRef>
              <c:f>Pivot_3!$B$2:$B$9</c:f>
              <c:numCache>
                <c:formatCode>_("$"* #,##0.00_);_("$"* \(#,##0.00\);_("$"* "-"??_);_(@_)</c:formatCode>
                <c:ptCount val="7"/>
                <c:pt idx="0">
                  <c:v>10251793.060000001</c:v>
                </c:pt>
                <c:pt idx="1">
                  <c:v>5389714.5099999998</c:v>
                </c:pt>
                <c:pt idx="2">
                  <c:v>3574853.48</c:v>
                </c:pt>
                <c:pt idx="3">
                  <c:v>1892612.23</c:v>
                </c:pt>
                <c:pt idx="4">
                  <c:v>1600006.81</c:v>
                </c:pt>
                <c:pt idx="5">
                  <c:v>1449393.0899999999</c:v>
                </c:pt>
                <c:pt idx="6">
                  <c:v>708239.95</c:v>
                </c:pt>
              </c:numCache>
            </c:numRef>
          </c:val>
          <c:extLst>
            <c:ext xmlns:c16="http://schemas.microsoft.com/office/drawing/2014/chart" uri="{C3380CC4-5D6E-409C-BE32-E72D297353CC}">
              <c16:uniqueId val="{00000000-0D3A-FA40-BBB4-135F8F1A02B3}"/>
            </c:ext>
          </c:extLst>
        </c:ser>
        <c:dLbls>
          <c:showLegendKey val="0"/>
          <c:showVal val="0"/>
          <c:showCatName val="0"/>
          <c:showSerName val="0"/>
          <c:showPercent val="0"/>
          <c:showBubbleSize val="0"/>
        </c:dLbls>
        <c:gapWidth val="219"/>
        <c:overlap val="-27"/>
        <c:axId val="1786058432"/>
        <c:axId val="1725046656"/>
      </c:barChart>
      <c:catAx>
        <c:axId val="17860584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5046656"/>
        <c:crosses val="autoZero"/>
        <c:auto val="1"/>
        <c:lblAlgn val="ctr"/>
        <c:lblOffset val="100"/>
        <c:noMultiLvlLbl val="0"/>
      </c:catAx>
      <c:valAx>
        <c:axId val="172504665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6058432"/>
        <c:crosses val="autoZero"/>
        <c:crossBetween val="between"/>
      </c:valAx>
      <c:spPr>
        <a:noFill/>
        <a:ln>
          <a:noFill/>
        </a:ln>
        <a:effectLst/>
      </c:spPr>
    </c:plotArea>
    <c:legend>
      <c:legendPos val="r"/>
      <c:legendEntry>
        <c:idx val="0"/>
        <c:delete val="1"/>
      </c:legendEntry>
      <c:layout>
        <c:manualLayout>
          <c:xMode val="edge"/>
          <c:yMode val="edge"/>
          <c:x val="0.67464503599248482"/>
          <c:y val="0.4385769074124356"/>
          <c:w val="1.488095238095238E-2"/>
          <c:h val="1.297577854671280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[OF_RCM_Claims_Analytics_Dashboard.xlsx]Pivot 4!PivotTable12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a:latin typeface="Calibri" panose="020F0502020204030204" pitchFamily="34" charset="0"/>
                <a:cs typeface="Calibri" panose="020F0502020204030204" pitchFamily="34" charset="0"/>
              </a:rPr>
              <a:t>AR Aging</a:t>
            </a:r>
            <a:r>
              <a:rPr lang="en-US" baseline="0">
                <a:latin typeface="Calibri" panose="020F0502020204030204" pitchFamily="34" charset="0"/>
                <a:cs typeface="Calibri" panose="020F0502020204030204" pitchFamily="34" charset="0"/>
              </a:rPr>
              <a:t> Distibution by Payer</a:t>
            </a:r>
            <a:endParaRPr lang="en-US">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4'!$B$1:$B$2</c:f>
              <c:strCache>
                <c:ptCount val="1"/>
                <c:pt idx="0">
                  <c:v>Commercial_EPO</c:v>
                </c:pt>
              </c:strCache>
            </c:strRef>
          </c:tx>
          <c:spPr>
            <a:solidFill>
              <a:schemeClr val="accent1"/>
            </a:solidFill>
            <a:ln>
              <a:noFill/>
            </a:ln>
            <a:effectLst/>
          </c:spPr>
          <c:invertIfNegative val="0"/>
          <c:cat>
            <c:strRef>
              <c:f>'Pivot 4'!$A$3:$A$8</c:f>
              <c:strCache>
                <c:ptCount val="5"/>
                <c:pt idx="0">
                  <c:v>01. 0–30 days</c:v>
                </c:pt>
                <c:pt idx="1">
                  <c:v>02. 31–60 days</c:v>
                </c:pt>
                <c:pt idx="2">
                  <c:v>03. 61–90 days</c:v>
                </c:pt>
                <c:pt idx="3">
                  <c:v>04. 91–120 days</c:v>
                </c:pt>
                <c:pt idx="4">
                  <c:v>05. 120+ days</c:v>
                </c:pt>
              </c:strCache>
            </c:strRef>
          </c:cat>
          <c:val>
            <c:numRef>
              <c:f>'Pivot 4'!$B$3:$B$8</c:f>
              <c:numCache>
                <c:formatCode>"$"#,##0.00</c:formatCode>
                <c:ptCount val="5"/>
                <c:pt idx="0">
                  <c:v>62949.08</c:v>
                </c:pt>
                <c:pt idx="1">
                  <c:v>60291.76</c:v>
                </c:pt>
                <c:pt idx="2">
                  <c:v>44778.78</c:v>
                </c:pt>
                <c:pt idx="3">
                  <c:v>65490.590000000004</c:v>
                </c:pt>
                <c:pt idx="4">
                  <c:v>2406658.13</c:v>
                </c:pt>
              </c:numCache>
            </c:numRef>
          </c:val>
          <c:extLst>
            <c:ext xmlns:c16="http://schemas.microsoft.com/office/drawing/2014/chart" uri="{C3380CC4-5D6E-409C-BE32-E72D297353CC}">
              <c16:uniqueId val="{00000000-74AF-FC41-98A7-D2990EF012D4}"/>
            </c:ext>
          </c:extLst>
        </c:ser>
        <c:ser>
          <c:idx val="1"/>
          <c:order val="1"/>
          <c:tx>
            <c:strRef>
              <c:f>'Pivot 4'!$C$1:$C$2</c:f>
              <c:strCache>
                <c:ptCount val="1"/>
                <c:pt idx="0">
                  <c:v>Commercial_HMO</c:v>
                </c:pt>
              </c:strCache>
            </c:strRef>
          </c:tx>
          <c:spPr>
            <a:solidFill>
              <a:schemeClr val="accent2"/>
            </a:solidFill>
            <a:ln>
              <a:noFill/>
            </a:ln>
            <a:effectLst/>
          </c:spPr>
          <c:invertIfNegative val="0"/>
          <c:cat>
            <c:strRef>
              <c:f>'Pivot 4'!$A$3:$A$8</c:f>
              <c:strCache>
                <c:ptCount val="5"/>
                <c:pt idx="0">
                  <c:v>01. 0–30 days</c:v>
                </c:pt>
                <c:pt idx="1">
                  <c:v>02. 31–60 days</c:v>
                </c:pt>
                <c:pt idx="2">
                  <c:v>03. 61–90 days</c:v>
                </c:pt>
                <c:pt idx="3">
                  <c:v>04. 91–120 days</c:v>
                </c:pt>
                <c:pt idx="4">
                  <c:v>05. 120+ days</c:v>
                </c:pt>
              </c:strCache>
            </c:strRef>
          </c:cat>
          <c:val>
            <c:numRef>
              <c:f>'Pivot 4'!$C$3:$C$8</c:f>
              <c:numCache>
                <c:formatCode>"$"#,##0.00</c:formatCode>
                <c:ptCount val="5"/>
                <c:pt idx="0">
                  <c:v>79376.5</c:v>
                </c:pt>
                <c:pt idx="1">
                  <c:v>124429.40999999999</c:v>
                </c:pt>
                <c:pt idx="2">
                  <c:v>129347.34</c:v>
                </c:pt>
                <c:pt idx="3">
                  <c:v>147776.19</c:v>
                </c:pt>
                <c:pt idx="4">
                  <c:v>4590572.33</c:v>
                </c:pt>
              </c:numCache>
            </c:numRef>
          </c:val>
          <c:extLst>
            <c:ext xmlns:c16="http://schemas.microsoft.com/office/drawing/2014/chart" uri="{C3380CC4-5D6E-409C-BE32-E72D297353CC}">
              <c16:uniqueId val="{00000001-74AF-FC41-98A7-D2990EF012D4}"/>
            </c:ext>
          </c:extLst>
        </c:ser>
        <c:ser>
          <c:idx val="2"/>
          <c:order val="2"/>
          <c:tx>
            <c:strRef>
              <c:f>'Pivot 4'!$D$1:$D$2</c:f>
              <c:strCache>
                <c:ptCount val="1"/>
                <c:pt idx="0">
                  <c:v>Commercial_PPO</c:v>
                </c:pt>
              </c:strCache>
            </c:strRef>
          </c:tx>
          <c:spPr>
            <a:solidFill>
              <a:schemeClr val="accent3"/>
            </a:solidFill>
            <a:ln>
              <a:noFill/>
            </a:ln>
            <a:effectLst/>
          </c:spPr>
          <c:invertIfNegative val="0"/>
          <c:cat>
            <c:strRef>
              <c:f>'Pivot 4'!$A$3:$A$8</c:f>
              <c:strCache>
                <c:ptCount val="5"/>
                <c:pt idx="0">
                  <c:v>01. 0–30 days</c:v>
                </c:pt>
                <c:pt idx="1">
                  <c:v>02. 31–60 days</c:v>
                </c:pt>
                <c:pt idx="2">
                  <c:v>03. 61–90 days</c:v>
                </c:pt>
                <c:pt idx="3">
                  <c:v>04. 91–120 days</c:v>
                </c:pt>
                <c:pt idx="4">
                  <c:v>05. 120+ days</c:v>
                </c:pt>
              </c:strCache>
            </c:strRef>
          </c:cat>
          <c:val>
            <c:numRef>
              <c:f>'Pivot 4'!$D$3:$D$8</c:f>
              <c:numCache>
                <c:formatCode>"$"#,##0.00</c:formatCode>
                <c:ptCount val="5"/>
                <c:pt idx="0">
                  <c:v>220985.87</c:v>
                </c:pt>
                <c:pt idx="1">
                  <c:v>299700.67</c:v>
                </c:pt>
                <c:pt idx="2">
                  <c:v>358209.36000000004</c:v>
                </c:pt>
                <c:pt idx="3">
                  <c:v>296882.81</c:v>
                </c:pt>
                <c:pt idx="4">
                  <c:v>9342945.8599999994</c:v>
                </c:pt>
              </c:numCache>
            </c:numRef>
          </c:val>
          <c:extLst>
            <c:ext xmlns:c16="http://schemas.microsoft.com/office/drawing/2014/chart" uri="{C3380CC4-5D6E-409C-BE32-E72D297353CC}">
              <c16:uniqueId val="{00000003-74AF-FC41-98A7-D2990EF012D4}"/>
            </c:ext>
          </c:extLst>
        </c:ser>
        <c:ser>
          <c:idx val="3"/>
          <c:order val="3"/>
          <c:tx>
            <c:strRef>
              <c:f>'Pivot 4'!$E$1:$E$2</c:f>
              <c:strCache>
                <c:ptCount val="1"/>
                <c:pt idx="0">
                  <c:v>Medicaid_Managed</c:v>
                </c:pt>
              </c:strCache>
            </c:strRef>
          </c:tx>
          <c:spPr>
            <a:solidFill>
              <a:schemeClr val="accent4"/>
            </a:solidFill>
            <a:ln>
              <a:noFill/>
            </a:ln>
            <a:effectLst/>
          </c:spPr>
          <c:invertIfNegative val="0"/>
          <c:cat>
            <c:strRef>
              <c:f>'Pivot 4'!$A$3:$A$8</c:f>
              <c:strCache>
                <c:ptCount val="5"/>
                <c:pt idx="0">
                  <c:v>01. 0–30 days</c:v>
                </c:pt>
                <c:pt idx="1">
                  <c:v>02. 31–60 days</c:v>
                </c:pt>
                <c:pt idx="2">
                  <c:v>03. 61–90 days</c:v>
                </c:pt>
                <c:pt idx="3">
                  <c:v>04. 91–120 days</c:v>
                </c:pt>
                <c:pt idx="4">
                  <c:v>05. 120+ days</c:v>
                </c:pt>
              </c:strCache>
            </c:strRef>
          </c:cat>
          <c:val>
            <c:numRef>
              <c:f>'Pivot 4'!$E$3:$E$8</c:f>
              <c:numCache>
                <c:formatCode>"$"#,##0.00</c:formatCode>
                <c:ptCount val="5"/>
                <c:pt idx="0">
                  <c:v>48116.299999999996</c:v>
                </c:pt>
                <c:pt idx="1">
                  <c:v>70085.2</c:v>
                </c:pt>
                <c:pt idx="2">
                  <c:v>65406.86</c:v>
                </c:pt>
                <c:pt idx="3">
                  <c:v>76682.14</c:v>
                </c:pt>
                <c:pt idx="4">
                  <c:v>2658196.4599999995</c:v>
                </c:pt>
              </c:numCache>
            </c:numRef>
          </c:val>
          <c:extLst>
            <c:ext xmlns:c16="http://schemas.microsoft.com/office/drawing/2014/chart" uri="{C3380CC4-5D6E-409C-BE32-E72D297353CC}">
              <c16:uniqueId val="{00000004-74AF-FC41-98A7-D2990EF012D4}"/>
            </c:ext>
          </c:extLst>
        </c:ser>
        <c:ser>
          <c:idx val="4"/>
          <c:order val="4"/>
          <c:tx>
            <c:strRef>
              <c:f>'Pivot 4'!$F$1:$F$2</c:f>
              <c:strCache>
                <c:ptCount val="1"/>
                <c:pt idx="0">
                  <c:v>Medicare_Advantage</c:v>
                </c:pt>
              </c:strCache>
            </c:strRef>
          </c:tx>
          <c:spPr>
            <a:solidFill>
              <a:schemeClr val="accent5"/>
            </a:solidFill>
            <a:ln>
              <a:noFill/>
            </a:ln>
            <a:effectLst/>
          </c:spPr>
          <c:invertIfNegative val="0"/>
          <c:cat>
            <c:strRef>
              <c:f>'Pivot 4'!$A$3:$A$8</c:f>
              <c:strCache>
                <c:ptCount val="5"/>
                <c:pt idx="0">
                  <c:v>01. 0–30 days</c:v>
                </c:pt>
                <c:pt idx="1">
                  <c:v>02. 31–60 days</c:v>
                </c:pt>
                <c:pt idx="2">
                  <c:v>03. 61–90 days</c:v>
                </c:pt>
                <c:pt idx="3">
                  <c:v>04. 91–120 days</c:v>
                </c:pt>
                <c:pt idx="4">
                  <c:v>05. 120+ days</c:v>
                </c:pt>
              </c:strCache>
            </c:strRef>
          </c:cat>
          <c:val>
            <c:numRef>
              <c:f>'Pivot 4'!$F$3:$F$8</c:f>
              <c:numCache>
                <c:formatCode>"$"#,##0.00</c:formatCode>
                <c:ptCount val="5"/>
                <c:pt idx="0">
                  <c:v>156828.45000000001</c:v>
                </c:pt>
                <c:pt idx="1">
                  <c:v>115129.70999999999</c:v>
                </c:pt>
                <c:pt idx="2">
                  <c:v>86215.01999999999</c:v>
                </c:pt>
                <c:pt idx="3">
                  <c:v>113073.23999999999</c:v>
                </c:pt>
                <c:pt idx="4">
                  <c:v>4714826.84</c:v>
                </c:pt>
              </c:numCache>
            </c:numRef>
          </c:val>
          <c:extLst>
            <c:ext xmlns:c16="http://schemas.microsoft.com/office/drawing/2014/chart" uri="{C3380CC4-5D6E-409C-BE32-E72D297353CC}">
              <c16:uniqueId val="{00000005-74AF-FC41-98A7-D2990EF012D4}"/>
            </c:ext>
          </c:extLst>
        </c:ser>
        <c:ser>
          <c:idx val="5"/>
          <c:order val="5"/>
          <c:tx>
            <c:strRef>
              <c:f>'Pivot 4'!$G$1:$G$2</c:f>
              <c:strCache>
                <c:ptCount val="1"/>
                <c:pt idx="0">
                  <c:v>Medicare_FFS</c:v>
                </c:pt>
              </c:strCache>
            </c:strRef>
          </c:tx>
          <c:spPr>
            <a:solidFill>
              <a:schemeClr val="accent6"/>
            </a:solidFill>
            <a:ln>
              <a:noFill/>
            </a:ln>
            <a:effectLst/>
          </c:spPr>
          <c:invertIfNegative val="0"/>
          <c:cat>
            <c:strRef>
              <c:f>'Pivot 4'!$A$3:$A$8</c:f>
              <c:strCache>
                <c:ptCount val="5"/>
                <c:pt idx="0">
                  <c:v>01. 0–30 days</c:v>
                </c:pt>
                <c:pt idx="1">
                  <c:v>02. 31–60 days</c:v>
                </c:pt>
                <c:pt idx="2">
                  <c:v>03. 61–90 days</c:v>
                </c:pt>
                <c:pt idx="3">
                  <c:v>04. 91–120 days</c:v>
                </c:pt>
                <c:pt idx="4">
                  <c:v>05. 120+ days</c:v>
                </c:pt>
              </c:strCache>
            </c:strRef>
          </c:cat>
          <c:val>
            <c:numRef>
              <c:f>'Pivot 4'!$G$3:$G$8</c:f>
              <c:numCache>
                <c:formatCode>"$"#,##0.00</c:formatCode>
                <c:ptCount val="5"/>
                <c:pt idx="0">
                  <c:v>176808.94</c:v>
                </c:pt>
                <c:pt idx="1">
                  <c:v>119228.48999999999</c:v>
                </c:pt>
                <c:pt idx="2">
                  <c:v>134210.14000000001</c:v>
                </c:pt>
                <c:pt idx="3">
                  <c:v>110193.40999999999</c:v>
                </c:pt>
                <c:pt idx="4">
                  <c:v>5629902.0499999998</c:v>
                </c:pt>
              </c:numCache>
            </c:numRef>
          </c:val>
          <c:extLst>
            <c:ext xmlns:c16="http://schemas.microsoft.com/office/drawing/2014/chart" uri="{C3380CC4-5D6E-409C-BE32-E72D297353CC}">
              <c16:uniqueId val="{00000006-74AF-FC41-98A7-D2990EF012D4}"/>
            </c:ext>
          </c:extLst>
        </c:ser>
        <c:dLbls>
          <c:showLegendKey val="0"/>
          <c:showVal val="0"/>
          <c:showCatName val="0"/>
          <c:showSerName val="0"/>
          <c:showPercent val="0"/>
          <c:showBubbleSize val="0"/>
        </c:dLbls>
        <c:gapWidth val="150"/>
        <c:overlap val="100"/>
        <c:axId val="1788187456"/>
        <c:axId val="1788189248"/>
      </c:barChart>
      <c:catAx>
        <c:axId val="178818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788189248"/>
        <c:crosses val="autoZero"/>
        <c:auto val="1"/>
        <c:lblAlgn val="ctr"/>
        <c:lblOffset val="100"/>
        <c:noMultiLvlLbl val="0"/>
      </c:catAx>
      <c:valAx>
        <c:axId val="1788189248"/>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78818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[OF_RCM_Claims_Analytics_Dashboard.xlsx]Pivot 4!PivotTable13</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solidFill>
                  <a:schemeClr val="tx1"/>
                </a:solidFill>
              </a:rPr>
              <a:t>Average Days Open vs. Payer Benchmark Turnaround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4'!$B$10</c:f>
              <c:strCache>
                <c:ptCount val="1"/>
                <c:pt idx="0">
                  <c:v>Average of avg_days_open</c:v>
                </c:pt>
              </c:strCache>
            </c:strRef>
          </c:tx>
          <c:spPr>
            <a:solidFill>
              <a:schemeClr val="accent1"/>
            </a:solidFill>
            <a:ln>
              <a:noFill/>
            </a:ln>
            <a:effectLst/>
          </c:spPr>
          <c:invertIfNegative val="0"/>
          <c:cat>
            <c:strRef>
              <c:f>'Pivot 4'!$A$11:$A$17</c:f>
              <c:strCache>
                <c:ptCount val="6"/>
                <c:pt idx="0">
                  <c:v>Commercial_EPO</c:v>
                </c:pt>
                <c:pt idx="1">
                  <c:v>Commercial_PPO</c:v>
                </c:pt>
                <c:pt idx="2">
                  <c:v>Medicaid_Managed</c:v>
                </c:pt>
                <c:pt idx="3">
                  <c:v>Commercial_HMO</c:v>
                </c:pt>
                <c:pt idx="4">
                  <c:v>Medicare_FFS</c:v>
                </c:pt>
                <c:pt idx="5">
                  <c:v>Medicare_Advantage</c:v>
                </c:pt>
              </c:strCache>
            </c:strRef>
          </c:cat>
          <c:val>
            <c:numRef>
              <c:f>'Pivot 4'!$B$11:$B$17</c:f>
              <c:numCache>
                <c:formatCode>0.00</c:formatCode>
                <c:ptCount val="6"/>
                <c:pt idx="0">
                  <c:v>187.65384615384616</c:v>
                </c:pt>
                <c:pt idx="1">
                  <c:v>187.74</c:v>
                </c:pt>
                <c:pt idx="2">
                  <c:v>187.77692307692308</c:v>
                </c:pt>
                <c:pt idx="3">
                  <c:v>187.82769230769236</c:v>
                </c:pt>
                <c:pt idx="4">
                  <c:v>188.66615384615386</c:v>
                </c:pt>
                <c:pt idx="5">
                  <c:v>188.80769230769229</c:v>
                </c:pt>
              </c:numCache>
            </c:numRef>
          </c:val>
          <c:extLst>
            <c:ext xmlns:c16="http://schemas.microsoft.com/office/drawing/2014/chart" uri="{C3380CC4-5D6E-409C-BE32-E72D297353CC}">
              <c16:uniqueId val="{00000000-AE44-F040-9371-1DF3C6C165D9}"/>
            </c:ext>
          </c:extLst>
        </c:ser>
        <c:ser>
          <c:idx val="1"/>
          <c:order val="1"/>
          <c:tx>
            <c:strRef>
              <c:f>'Pivot 4'!$C$10</c:f>
              <c:strCache>
                <c:ptCount val="1"/>
                <c:pt idx="0">
                  <c:v>Average of payer_benchmark_turnaround_days</c:v>
                </c:pt>
              </c:strCache>
            </c:strRef>
          </c:tx>
          <c:spPr>
            <a:solidFill>
              <a:schemeClr val="accent2"/>
            </a:solidFill>
            <a:ln>
              <a:noFill/>
            </a:ln>
            <a:effectLst/>
          </c:spPr>
          <c:invertIfNegative val="0"/>
          <c:cat>
            <c:strRef>
              <c:f>'Pivot 4'!$A$11:$A$17</c:f>
              <c:strCache>
                <c:ptCount val="6"/>
                <c:pt idx="0">
                  <c:v>Commercial_EPO</c:v>
                </c:pt>
                <c:pt idx="1">
                  <c:v>Commercial_PPO</c:v>
                </c:pt>
                <c:pt idx="2">
                  <c:v>Medicaid_Managed</c:v>
                </c:pt>
                <c:pt idx="3">
                  <c:v>Commercial_HMO</c:v>
                </c:pt>
                <c:pt idx="4">
                  <c:v>Medicare_FFS</c:v>
                </c:pt>
                <c:pt idx="5">
                  <c:v>Medicare_Advantage</c:v>
                </c:pt>
              </c:strCache>
            </c:strRef>
          </c:cat>
          <c:val>
            <c:numRef>
              <c:f>'Pivot 4'!$C$11:$C$17</c:f>
              <c:numCache>
                <c:formatCode>0.00</c:formatCode>
                <c:ptCount val="6"/>
                <c:pt idx="0">
                  <c:v>32.190769230769241</c:v>
                </c:pt>
                <c:pt idx="1">
                  <c:v>30.270769230769233</c:v>
                </c:pt>
                <c:pt idx="2">
                  <c:v>26.273846153846158</c:v>
                </c:pt>
                <c:pt idx="3">
                  <c:v>28.081538461538461</c:v>
                </c:pt>
                <c:pt idx="4">
                  <c:v>31.089230769230777</c:v>
                </c:pt>
                <c:pt idx="5">
                  <c:v>31.343076923076922</c:v>
                </c:pt>
              </c:numCache>
            </c:numRef>
          </c:val>
          <c:extLst>
            <c:ext xmlns:c16="http://schemas.microsoft.com/office/drawing/2014/chart" uri="{C3380CC4-5D6E-409C-BE32-E72D297353CC}">
              <c16:uniqueId val="{00000001-AE44-F040-9371-1DF3C6C165D9}"/>
            </c:ext>
          </c:extLst>
        </c:ser>
        <c:dLbls>
          <c:showLegendKey val="0"/>
          <c:showVal val="0"/>
          <c:showCatName val="0"/>
          <c:showSerName val="0"/>
          <c:showPercent val="0"/>
          <c:showBubbleSize val="0"/>
        </c:dLbls>
        <c:gapWidth val="219"/>
        <c:overlap val="-27"/>
        <c:axId val="1726634560"/>
        <c:axId val="1920696768"/>
      </c:barChart>
      <c:catAx>
        <c:axId val="172663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20696768"/>
        <c:crosses val="autoZero"/>
        <c:auto val="1"/>
        <c:lblAlgn val="ctr"/>
        <c:lblOffset val="100"/>
        <c:noMultiLvlLbl val="0"/>
      </c:catAx>
      <c:valAx>
        <c:axId val="192069676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663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12</xdr:col>
      <xdr:colOff>806450</xdr:colOff>
      <xdr:row>11</xdr:row>
      <xdr:rowOff>152400</xdr:rowOff>
    </xdr:from>
    <xdr:to>
      <xdr:col>19</xdr:col>
      <xdr:colOff>273050</xdr:colOff>
      <xdr:row>33</xdr:row>
      <xdr:rowOff>82550</xdr:rowOff>
    </xdr:to>
    <xdr:graphicFrame macro="">
      <xdr:nvGraphicFramePr>
        <xdr:cNvPr id="2" name="Chart 1">
          <a:extLst>
            <a:ext uri="{FF2B5EF4-FFF2-40B4-BE49-F238E27FC236}">
              <a16:creationId xmlns:a16="http://schemas.microsoft.com/office/drawing/2014/main" id="{B4E27E3F-377A-B142-BFE9-0FF825989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203200</xdr:colOff>
      <xdr:row>16</xdr:row>
      <xdr:rowOff>38100</xdr:rowOff>
    </xdr:from>
    <xdr:to>
      <xdr:col>5</xdr:col>
      <xdr:colOff>787400</xdr:colOff>
      <xdr:row>33</xdr:row>
      <xdr:rowOff>25400</xdr:rowOff>
    </xdr:to>
    <xdr:graphicFrame macro="">
      <xdr:nvGraphicFramePr>
        <xdr:cNvPr id="3" name="Chart 2">
          <a:extLst>
            <a:ext uri="{FF2B5EF4-FFF2-40B4-BE49-F238E27FC236}">
              <a16:creationId xmlns:a16="http://schemas.microsoft.com/office/drawing/2014/main" id="{92258461-3BD8-7E41-B461-4ABBE8E38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34</xdr:row>
      <xdr:rowOff>63500</xdr:rowOff>
    </xdr:from>
    <xdr:to>
      <xdr:col>5</xdr:col>
      <xdr:colOff>749300</xdr:colOff>
      <xdr:row>49</xdr:row>
      <xdr:rowOff>114300</xdr:rowOff>
    </xdr:to>
    <xdr:graphicFrame macro="">
      <xdr:nvGraphicFramePr>
        <xdr:cNvPr id="4" name="Chart 3">
          <a:extLst>
            <a:ext uri="{FF2B5EF4-FFF2-40B4-BE49-F238E27FC236}">
              <a16:creationId xmlns:a16="http://schemas.microsoft.com/office/drawing/2014/main" id="{605AB82D-EE0C-C345-B9E9-A05DA13E7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101600</xdr:colOff>
      <xdr:row>34</xdr:row>
      <xdr:rowOff>38100</xdr:rowOff>
    </xdr:from>
    <xdr:to>
      <xdr:col>12</xdr:col>
      <xdr:colOff>165100</xdr:colOff>
      <xdr:row>49</xdr:row>
      <xdr:rowOff>114300</xdr:rowOff>
    </xdr:to>
    <xdr:graphicFrame macro="">
      <xdr:nvGraphicFramePr>
        <xdr:cNvPr id="5" name="Chart 4">
          <a:extLst>
            <a:ext uri="{FF2B5EF4-FFF2-40B4-BE49-F238E27FC236}">
              <a16:creationId xmlns:a16="http://schemas.microsoft.com/office/drawing/2014/main" id="{7B53F529-8DED-6144-AAD3-769CCA869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165100</xdr:colOff>
      <xdr:row>16</xdr:row>
      <xdr:rowOff>12700</xdr:rowOff>
    </xdr:from>
    <xdr:to>
      <xdr:col>12</xdr:col>
      <xdr:colOff>685800</xdr:colOff>
      <xdr:row>33</xdr:row>
      <xdr:rowOff>63500</xdr:rowOff>
    </xdr:to>
    <xdr:graphicFrame macro="">
      <xdr:nvGraphicFramePr>
        <xdr:cNvPr id="7" name="Chart 6">
          <a:extLst>
            <a:ext uri="{FF2B5EF4-FFF2-40B4-BE49-F238E27FC236}">
              <a16:creationId xmlns:a16="http://schemas.microsoft.com/office/drawing/2014/main" id="{F2033CAD-33F8-4A41-BB75-96B279FB6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469900</xdr:colOff>
      <xdr:row>34</xdr:row>
      <xdr:rowOff>12700</xdr:rowOff>
    </xdr:from>
    <xdr:to>
      <xdr:col>19</xdr:col>
      <xdr:colOff>25400</xdr:colOff>
      <xdr:row>49</xdr:row>
      <xdr:rowOff>101600</xdr:rowOff>
    </xdr:to>
    <xdr:graphicFrame macro="">
      <xdr:nvGraphicFramePr>
        <xdr:cNvPr id="8" name="Chart 7">
          <a:extLst>
            <a:ext uri="{FF2B5EF4-FFF2-40B4-BE49-F238E27FC236}">
              <a16:creationId xmlns:a16="http://schemas.microsoft.com/office/drawing/2014/main" id="{DBA58655-1B71-084C-B647-AE98908327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311383</xdr:colOff>
      <xdr:row>0</xdr:row>
      <xdr:rowOff>8448</xdr:rowOff>
    </xdr:from>
    <xdr:to>
      <xdr:col>21</xdr:col>
      <xdr:colOff>487435</xdr:colOff>
      <xdr:row>11</xdr:row>
      <xdr:rowOff>49721</xdr:rowOff>
    </xdr:to>
    <mc:AlternateContent xmlns:mc="http://schemas.openxmlformats.org/markup-compatibility/2006" xmlns:a14="http://schemas.microsoft.com/office/drawing/2010/main">
      <mc:Choice Requires="a14">
        <xdr:graphicFrame macro="">
          <xdr:nvGraphicFramePr>
            <xdr:cNvPr id="9" name="payer_type">
              <a:extLst>
                <a:ext uri="{FF2B5EF4-FFF2-40B4-BE49-F238E27FC236}">
                  <a16:creationId xmlns:a16="http://schemas.microsoft.com/office/drawing/2014/main" id="{888824AE-2DDC-7FA0-C988-F4313B049816}"/>
                </a:ext>
              </a:extLst>
            </xdr:cNvPr>
            <xdr:cNvGraphicFramePr/>
          </xdr:nvGraphicFramePr>
          <xdr:xfrm>
            <a:off x="0" y="0"/>
            <a:ext cx="0" cy="0"/>
          </xdr:xfrm>
          <a:graphic>
            <a:graphicData uri="http://schemas.microsoft.com/office/drawing/2010/slicer">
              <sle:slicer xmlns:sle="http://schemas.microsoft.com/office/drawing/2010/slicer" name="payer_type"/>
            </a:graphicData>
          </a:graphic>
        </xdr:graphicFrame>
      </mc:Choice>
      <mc:Fallback xmlns="">
        <xdr:sp macro="" textlink="">
          <xdr:nvSpPr>
            <xdr:cNvPr id="0" name=""/>
            <xdr:cNvSpPr>
              <a:spLocks noTextEdit="1"/>
            </xdr:cNvSpPr>
          </xdr:nvSpPr>
          <xdr:spPr>
            <a:xfrm>
              <a:off x="16133466" y="8448"/>
              <a:ext cx="1827052" cy="25918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757767</xdr:colOff>
      <xdr:row>0</xdr:row>
      <xdr:rowOff>0</xdr:rowOff>
    </xdr:from>
    <xdr:to>
      <xdr:col>19</xdr:col>
      <xdr:colOff>110067</xdr:colOff>
      <xdr:row>11</xdr:row>
      <xdr:rowOff>53972</xdr:rowOff>
    </xdr:to>
    <mc:AlternateContent xmlns:mc="http://schemas.openxmlformats.org/markup-compatibility/2006" xmlns:a14="http://schemas.microsoft.com/office/drawing/2010/main">
      <mc:Choice Requires="a14">
        <xdr:graphicFrame macro="">
          <xdr:nvGraphicFramePr>
            <xdr:cNvPr id="10" name="provider_specialty">
              <a:extLst>
                <a:ext uri="{FF2B5EF4-FFF2-40B4-BE49-F238E27FC236}">
                  <a16:creationId xmlns:a16="http://schemas.microsoft.com/office/drawing/2014/main" id="{B4EA0399-18C4-9544-D83E-D1E071908435}"/>
                </a:ext>
              </a:extLst>
            </xdr:cNvPr>
            <xdr:cNvGraphicFramePr/>
          </xdr:nvGraphicFramePr>
          <xdr:xfrm>
            <a:off x="0" y="0"/>
            <a:ext cx="0" cy="0"/>
          </xdr:xfrm>
          <a:graphic>
            <a:graphicData uri="http://schemas.microsoft.com/office/drawing/2010/slicer">
              <sle:slicer xmlns:sle="http://schemas.microsoft.com/office/drawing/2010/slicer" name="provider_specialty"/>
            </a:graphicData>
          </a:graphic>
        </xdr:graphicFrame>
      </mc:Choice>
      <mc:Fallback xmlns="">
        <xdr:sp macro="" textlink="">
          <xdr:nvSpPr>
            <xdr:cNvPr id="0" name=""/>
            <xdr:cNvSpPr>
              <a:spLocks noTextEdit="1"/>
            </xdr:cNvSpPr>
          </xdr:nvSpPr>
          <xdr:spPr>
            <a:xfrm>
              <a:off x="14103350" y="0"/>
              <a:ext cx="1828800" cy="26045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723900</xdr:colOff>
      <xdr:row>12</xdr:row>
      <xdr:rowOff>190500</xdr:rowOff>
    </xdr:from>
    <xdr:to>
      <xdr:col>16</xdr:col>
      <xdr:colOff>431800</xdr:colOff>
      <xdr:row>41</xdr:row>
      <xdr:rowOff>101600</xdr:rowOff>
    </xdr:to>
    <xdr:graphicFrame macro="">
      <xdr:nvGraphicFramePr>
        <xdr:cNvPr id="4" name="Chart 3">
          <a:extLst>
            <a:ext uri="{FF2B5EF4-FFF2-40B4-BE49-F238E27FC236}">
              <a16:creationId xmlns:a16="http://schemas.microsoft.com/office/drawing/2014/main" id="{C3848581-E029-AEF8-8EE4-0F97366A6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742950</xdr:colOff>
      <xdr:row>9</xdr:row>
      <xdr:rowOff>158750</xdr:rowOff>
    </xdr:from>
    <xdr:to>
      <xdr:col>8</xdr:col>
      <xdr:colOff>57150</xdr:colOff>
      <xdr:row>23</xdr:row>
      <xdr:rowOff>57150</xdr:rowOff>
    </xdr:to>
    <xdr:graphicFrame macro="">
      <xdr:nvGraphicFramePr>
        <xdr:cNvPr id="2" name="Chart 1">
          <a:extLst>
            <a:ext uri="{FF2B5EF4-FFF2-40B4-BE49-F238E27FC236}">
              <a16:creationId xmlns:a16="http://schemas.microsoft.com/office/drawing/2014/main" id="{17683599-23D9-6E18-0836-1DBD6307A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730250</xdr:colOff>
      <xdr:row>23</xdr:row>
      <xdr:rowOff>184150</xdr:rowOff>
    </xdr:from>
    <xdr:to>
      <xdr:col>10</xdr:col>
      <xdr:colOff>590550</xdr:colOff>
      <xdr:row>37</xdr:row>
      <xdr:rowOff>82550</xdr:rowOff>
    </xdr:to>
    <xdr:graphicFrame macro="">
      <xdr:nvGraphicFramePr>
        <xdr:cNvPr id="3" name="Chart 2">
          <a:extLst>
            <a:ext uri="{FF2B5EF4-FFF2-40B4-BE49-F238E27FC236}">
              <a16:creationId xmlns:a16="http://schemas.microsoft.com/office/drawing/2014/main" id="{ADAF2105-6D06-D990-7D38-EC986800E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76200</xdr:colOff>
      <xdr:row>18</xdr:row>
      <xdr:rowOff>38100</xdr:rowOff>
    </xdr:from>
    <xdr:to>
      <xdr:col>12</xdr:col>
      <xdr:colOff>698500</xdr:colOff>
      <xdr:row>36</xdr:row>
      <xdr:rowOff>50800</xdr:rowOff>
    </xdr:to>
    <xdr:graphicFrame macro="">
      <xdr:nvGraphicFramePr>
        <xdr:cNvPr id="2" name="Chart 1">
          <a:extLst>
            <a:ext uri="{FF2B5EF4-FFF2-40B4-BE49-F238E27FC236}">
              <a16:creationId xmlns:a16="http://schemas.microsoft.com/office/drawing/2014/main" id="{88618773-E711-FE5B-E8FE-A97CBB8CCB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330200</xdr:colOff>
      <xdr:row>9</xdr:row>
      <xdr:rowOff>184150</xdr:rowOff>
    </xdr:from>
    <xdr:to>
      <xdr:col>12</xdr:col>
      <xdr:colOff>584200</xdr:colOff>
      <xdr:row>37</xdr:row>
      <xdr:rowOff>12700</xdr:rowOff>
    </xdr:to>
    <xdr:graphicFrame macro="">
      <xdr:nvGraphicFramePr>
        <xdr:cNvPr id="2" name="Chart 1">
          <a:extLst>
            <a:ext uri="{FF2B5EF4-FFF2-40B4-BE49-F238E27FC236}">
              <a16:creationId xmlns:a16="http://schemas.microsoft.com/office/drawing/2014/main" id="{87039877-5458-396C-A4A7-5B743EB7DE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1219200</xdr:colOff>
      <xdr:row>19</xdr:row>
      <xdr:rowOff>50800</xdr:rowOff>
    </xdr:from>
    <xdr:to>
      <xdr:col>3</xdr:col>
      <xdr:colOff>508000</xdr:colOff>
      <xdr:row>36</xdr:row>
      <xdr:rowOff>101600</xdr:rowOff>
    </xdr:to>
    <xdr:graphicFrame macro="">
      <xdr:nvGraphicFramePr>
        <xdr:cNvPr id="3" name="Chart 2">
          <a:extLst>
            <a:ext uri="{FF2B5EF4-FFF2-40B4-BE49-F238E27FC236}">
              <a16:creationId xmlns:a16="http://schemas.microsoft.com/office/drawing/2014/main" id="{55097604-66B5-F5DC-1D05-84B7BA8913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olade Folashade" refreshedDate="46294.601007407407" createdVersion="8" refreshedVersion="8" minRefreshableVersion="3" recordCount="21" xr:uid="{680BA1C4-953D-0248-8667-88F660552F53}">
  <cacheSource type="worksheet">
    <worksheetSource name="Denial_Root_Cause"/>
  </cacheSource>
  <cacheFields count="7">
    <cacheField name="denial_category" numFmtId="0">
      <sharedItems count="7">
        <s v="coding_error"/>
        <s v="medical_necessity"/>
        <s v="auth_missing"/>
        <s v="eligibility"/>
        <s v="bundling"/>
        <s v="duplicate"/>
        <s v="timely_filing"/>
      </sharedItems>
    </cacheField>
    <cacheField name="denial_code_description" numFmtId="0">
      <sharedItems/>
    </cacheField>
    <cacheField name="total_denials" numFmtId="0">
      <sharedItems containsSemiMixedTypes="0" containsString="0" containsNumber="1" containsInteger="1" minValue="540" maxValue="2419"/>
    </cacheField>
    <cacheField name="appealable" numFmtId="0">
      <sharedItems count="2">
        <b v="1"/>
        <b v="0"/>
      </sharedItems>
    </cacheField>
    <cacheField name="avg_appeal_success_pct" numFmtId="0">
      <sharedItems containsSemiMixedTypes="0" containsString="0" containsNumber="1" minValue="0" maxValue="74.3"/>
    </cacheField>
    <cacheField name="total_recoverable_usd" numFmtId="0">
      <sharedItems containsSemiMixedTypes="0" containsString="0" containsNumber="1" minValue="0" maxValue="3276418.6"/>
    </cacheField>
    <cacheField name="recovery_action" numFmtId="0">
      <sharedItems count="5">
        <s v="recode_and_resubmit"/>
        <s v="appeal"/>
        <s v="obtain_auth_and_resubmit"/>
        <s v="verify_eligibility_resubmit"/>
        <s v="writeoff"/>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olade Folashade" refreshedDate="46294.617316898148" createdVersion="8" refreshedVersion="8" minRefreshableVersion="3" recordCount="6" xr:uid="{6794D01E-C64D-2B4F-84FB-D15F77099E77}">
  <cacheSource type="worksheet">
    <worksheetSource name="data_payer_summary"/>
  </cacheSource>
  <cacheFields count="5">
    <cacheField name="payer_type" numFmtId="0">
      <sharedItems count="6">
        <s v="Commercial_PPO"/>
        <s v="Medicare_FFS"/>
        <s v="Medicare_Advantage"/>
        <s v="Commercial_HMO"/>
        <s v="Medicaid_Managed"/>
        <s v="Commercial_EPO"/>
      </sharedItems>
    </cacheField>
    <cacheField name="total_claims" numFmtId="0">
      <sharedItems containsSemiMixedTypes="0" containsString="0" containsNumber="1" containsInteger="1" minValue="8472" maxValue="30016"/>
    </cacheField>
    <cacheField name="total_denied_claims" numFmtId="0">
      <sharedItems containsSemiMixedTypes="0" containsString="0" containsNumber="1" containsInteger="1" minValue="2346" maxValue="8338"/>
    </cacheField>
    <cacheField name="denial_rate_pct" numFmtId="0">
      <sharedItems containsSemiMixedTypes="0" containsString="0" containsNumber="1" minValue="27.69" maxValue="28.51"/>
    </cacheField>
    <cacheField name="total_estimated_recovery_usd" numFmtId="0">
      <sharedItems containsSemiMixedTypes="0" containsString="0" containsNumber="1" minValue="2640168.34" maxValue="10518724.57"/>
    </cacheField>
  </cacheFields>
  <extLst>
    <ext xmlns:x14="http://schemas.microsoft.com/office/spreadsheetml/2009/9/main" uri="{725AE2AE-9491-48be-B2B4-4EB974FC3084}">
      <x14:pivotCacheDefinition pivotCacheId="66636017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olade Folashade" refreshedDate="46294.621933796298" createdVersion="8" refreshedVersion="8" minRefreshableVersion="3" recordCount="15" xr:uid="{BDE60B71-7DF4-7A44-9F4E-5480D45790F5}">
  <cacheSource type="worksheet">
    <worksheetSource name="data_specialty_risk"/>
  </cacheSource>
  <cacheFields count="6">
    <cacheField name="provider_specialty" numFmtId="0">
      <sharedItems count="7">
        <s v="Orthopedic_Surgery"/>
        <s v="Cardiology"/>
        <s v="Obstetrics_Gynecology"/>
        <s v="Oncology"/>
        <s v="Gastroenterology"/>
        <s v="Emergency_Medicine"/>
        <s v="Pulmonology"/>
      </sharedItems>
    </cacheField>
    <cacheField name="cpt_code" numFmtId="0">
      <sharedItems containsSemiMixedTypes="0" containsString="0" containsNumber="1" containsInteger="1" minValue="27447" maxValue="99291" count="15">
        <n v="27447"/>
        <n v="93454"/>
        <n v="59400"/>
        <n v="29827"/>
        <n v="29881"/>
        <n v="93280"/>
        <n v="58150"/>
        <n v="77301"/>
        <n v="45378"/>
        <n v="96413"/>
        <n v="93306"/>
        <n v="99285"/>
        <n v="43239"/>
        <n v="31623"/>
        <n v="99291"/>
      </sharedItems>
    </cacheField>
    <cacheField name="total_claims" numFmtId="0">
      <sharedItems containsSemiMixedTypes="0" containsString="0" containsNumber="1" containsInteger="1" minValue="1160" maxValue="3394"/>
    </cacheField>
    <cacheField name="denied_claims" numFmtId="0">
      <sharedItems containsSemiMixedTypes="0" containsString="0" containsNumber="1" containsInteger="1" minValue="320" maxValue="972"/>
    </cacheField>
    <cacheField name="specialty_denial_rate_pct" numFmtId="0">
      <sharedItems containsSemiMixedTypes="0" containsString="0" containsNumber="1" minValue="26.33" maxValue="28.9"/>
    </cacheField>
    <cacheField name="total_at_risk_dollars" numFmtId="0">
      <sharedItems containsSemiMixedTypes="0" containsString="0" containsNumber="1" minValue="689950.11" maxValue="6307675.71"/>
    </cacheField>
  </cacheFields>
  <extLst>
    <ext xmlns:x14="http://schemas.microsoft.com/office/spreadsheetml/2009/9/main" uri="{725AE2AE-9491-48be-B2B4-4EB974FC3084}">
      <x14:pivotCacheDefinition pivotCacheId="212803256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olade Folashade" refreshedDate="46294.819873726854" createdVersion="8" refreshedVersion="8" minRefreshableVersion="3" recordCount="390" xr:uid="{888C9F14-352F-3845-AC0D-019F15FC0C24}">
  <cacheSource type="worksheet">
    <worksheetSource name="data_ar_dso_metrics"/>
  </cacheSource>
  <cacheFields count="9">
    <cacheField name="payer_type" numFmtId="0">
      <sharedItems count="6">
        <s v="Commercial_EPO"/>
        <s v="Commercial_HMO"/>
        <s v="Commercial_PPO"/>
        <s v="Medicaid_Managed"/>
        <s v="Medicare_Advantage"/>
        <s v="Medicare_FFS"/>
      </sharedItems>
    </cacheField>
    <cacheField name="provider_specialty" numFmtId="0">
      <sharedItems/>
    </cacheField>
    <cacheField name="ar_aging_bucket" numFmtId="0">
      <sharedItems count="5">
        <s v="01. 0–30 days"/>
        <s v="02. 31–60 days"/>
        <s v="03. 61–90 days"/>
        <s v="04. 91–120 days"/>
        <s v="05. 120+ days"/>
      </sharedItems>
    </cacheField>
    <cacheField name="total_claims" numFmtId="0">
      <sharedItems containsSemiMixedTypes="0" containsString="0" containsNumber="1" containsInteger="1" minValue="6" maxValue="3743"/>
    </cacheField>
    <cacheField name="total_at_risk_recovery_usd" numFmtId="0">
      <sharedItems containsSemiMixedTypes="0" containsString="0" containsNumber="1" minValue="0" maxValue="2927405.9"/>
    </cacheField>
    <cacheField name="avg_days_open" numFmtId="0">
      <sharedItems containsSemiMixedTypes="0" containsString="0" containsNumber="1" minValue="10" maxValue="724.8"/>
    </cacheField>
    <cacheField name="payer_benchmark_turnaround_days" numFmtId="0">
      <sharedItems containsSemiMixedTypes="0" containsString="0" containsNumber="1" minValue="18.2" maxValue="41.2"/>
    </cacheField>
    <cacheField name="avg_appeal_success_pct" numFmtId="0">
      <sharedItems containsString="0" containsBlank="1" containsNumber="1" minValue="0" maxValue="84"/>
    </cacheField>
    <cacheField name="running_total_at_risk_usd" numFmtId="0">
      <sharedItems containsSemiMixedTypes="0" containsString="0" containsNumber="1" minValue="224.65" maxValue="10518724.5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s v="Diagnosis_inconsistent_with_procedure"/>
    <n v="1817"/>
    <x v="0"/>
    <n v="74.099999999999994"/>
    <n v="3276418.6"/>
    <x v="0"/>
  </r>
  <r>
    <x v="0"/>
    <s v="Procedure_code_inconsistent_with_modifier"/>
    <n v="1814"/>
    <x v="0"/>
    <n v="74.3"/>
    <n v="3087907.38"/>
    <x v="0"/>
  </r>
  <r>
    <x v="0"/>
    <s v="Claim_lacks_information_for_adjudication"/>
    <n v="1896"/>
    <x v="0"/>
    <n v="74"/>
    <n v="2942009.78"/>
    <x v="0"/>
  </r>
  <r>
    <x v="0"/>
    <s v="Payment_included_in_another_claim"/>
    <n v="1817"/>
    <x v="0"/>
    <n v="74.3"/>
    <n v="2904984.51"/>
    <x v="0"/>
  </r>
  <r>
    <x v="1"/>
    <s v="Diagnosis_inconsistent_with_procedure"/>
    <n v="2419"/>
    <x v="0"/>
    <n v="47"/>
    <n v="2559555.4900000002"/>
    <x v="1"/>
  </r>
  <r>
    <x v="1"/>
    <s v="Claim_not_covered_by_this_payer"/>
    <n v="2330"/>
    <x v="0"/>
    <n v="47"/>
    <n v="2547468.5499999998"/>
    <x v="1"/>
  </r>
  <r>
    <x v="1"/>
    <s v="Non_covered_service"/>
    <n v="2341"/>
    <x v="0"/>
    <n v="47.2"/>
    <n v="2439233.1800000002"/>
    <x v="1"/>
  </r>
  <r>
    <x v="1"/>
    <s v="Benefit_maximum_reached"/>
    <n v="2354"/>
    <x v="0"/>
    <n v="47.1"/>
    <n v="2335545.91"/>
    <x v="1"/>
  </r>
  <r>
    <x v="2"/>
    <s v="Consult_required_prior_to_service"/>
    <n v="2043"/>
    <x v="0"/>
    <n v="40"/>
    <n v="1989131.03"/>
    <x v="2"/>
  </r>
  <r>
    <x v="2"/>
    <s v="Claim_lacks_information_for_adjudication"/>
    <n v="2032"/>
    <x v="0"/>
    <n v="40.200000000000003"/>
    <n v="1931164.55"/>
    <x v="2"/>
  </r>
  <r>
    <x v="2"/>
    <s v="Service_requires_prior_authorization"/>
    <n v="2065"/>
    <x v="0"/>
    <n v="40.1"/>
    <n v="1714892.52"/>
    <x v="2"/>
  </r>
  <r>
    <x v="3"/>
    <s v="Claim_not_covered_by_this_payer"/>
    <n v="1324"/>
    <x v="0"/>
    <n v="27"/>
    <n v="872615.08"/>
    <x v="3"/>
  </r>
  <r>
    <x v="3"/>
    <s v="Expenses_incurred_after_coverage_terminated"/>
    <n v="1429"/>
    <x v="0"/>
    <n v="26.9"/>
    <n v="863477.16"/>
    <x v="3"/>
  </r>
  <r>
    <x v="4"/>
    <s v="Payment_adjusted_per_contractual_rate"/>
    <n v="611"/>
    <x v="0"/>
    <n v="62.2"/>
    <n v="857514.6"/>
    <x v="0"/>
  </r>
  <r>
    <x v="3"/>
    <s v="Coordination_of_benefits"/>
    <n v="1331"/>
    <x v="0"/>
    <n v="27.1"/>
    <n v="787778.93"/>
    <x v="3"/>
  </r>
  <r>
    <x v="4"/>
    <s v="Payment_included_in_another_claim"/>
    <n v="541"/>
    <x v="0"/>
    <n v="62"/>
    <n v="722666.96"/>
    <x v="0"/>
  </r>
  <r>
    <x v="4"/>
    <s v="Procedure_code_inconsistent_with_modifier"/>
    <n v="540"/>
    <x v="0"/>
    <n v="61.8"/>
    <n v="672933.7"/>
    <x v="0"/>
  </r>
  <r>
    <x v="5"/>
    <s v="Duplicate_claim"/>
    <n v="889"/>
    <x v="1"/>
    <n v="0"/>
    <n v="0"/>
    <x v="4"/>
  </r>
  <r>
    <x v="5"/>
    <s v="Duplicate_claim_different_provider"/>
    <n v="900"/>
    <x v="1"/>
    <n v="0"/>
    <n v="0"/>
    <x v="4"/>
  </r>
  <r>
    <x v="5"/>
    <s v="Payment_included_in_another_claim"/>
    <n v="856"/>
    <x v="1"/>
    <n v="0"/>
    <n v="0"/>
    <x v="4"/>
  </r>
  <r>
    <x v="6"/>
    <s v="Time_limit_for_filing_expired"/>
    <n v="2315"/>
    <x v="1"/>
    <n v="0"/>
    <n v="0"/>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30016"/>
    <n v="8338"/>
    <n v="27.78"/>
    <n v="10518724.57"/>
  </r>
  <r>
    <x v="1"/>
    <n v="26300"/>
    <n v="7378"/>
    <n v="28.05"/>
    <n v="6170343.0300000003"/>
  </r>
  <r>
    <x v="2"/>
    <n v="21758"/>
    <n v="6148"/>
    <n v="28.26"/>
    <n v="5186073.26"/>
  </r>
  <r>
    <x v="3"/>
    <n v="15458"/>
    <n v="4324"/>
    <n v="27.97"/>
    <n v="5071501.7699999996"/>
  </r>
  <r>
    <x v="4"/>
    <n v="17996"/>
    <n v="5130"/>
    <n v="28.51"/>
    <n v="2918486.96"/>
  </r>
  <r>
    <x v="5"/>
    <n v="8472"/>
    <n v="2346"/>
    <n v="27.69"/>
    <n v="2640168.3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n v="2215"/>
    <n v="597"/>
    <n v="26.95"/>
    <n v="6307675.71"/>
  </r>
  <r>
    <x v="1"/>
    <x v="1"/>
    <n v="2456"/>
    <n v="694"/>
    <n v="28.26"/>
    <n v="3275477.87"/>
  </r>
  <r>
    <x v="2"/>
    <x v="2"/>
    <n v="1810"/>
    <n v="523"/>
    <n v="28.9"/>
    <n v="2339117.46"/>
  </r>
  <r>
    <x v="0"/>
    <x v="3"/>
    <n v="2150"/>
    <n v="566"/>
    <n v="26.33"/>
    <n v="2126828.75"/>
  </r>
  <r>
    <x v="0"/>
    <x v="4"/>
    <n v="2069"/>
    <n v="592"/>
    <n v="28.61"/>
    <n v="1817288.6"/>
  </r>
  <r>
    <x v="1"/>
    <x v="5"/>
    <n v="2354"/>
    <n v="680"/>
    <n v="28.89"/>
    <n v="1353489.64"/>
  </r>
  <r>
    <x v="2"/>
    <x v="6"/>
    <n v="1160"/>
    <n v="320"/>
    <n v="27.59"/>
    <n v="1235736.02"/>
  </r>
  <r>
    <x v="3"/>
    <x v="7"/>
    <n v="1693"/>
    <n v="489"/>
    <n v="28.88"/>
    <n v="1059818.8600000001"/>
  </r>
  <r>
    <x v="4"/>
    <x v="8"/>
    <n v="2267"/>
    <n v="651"/>
    <n v="28.72"/>
    <n v="867279.15"/>
  </r>
  <r>
    <x v="3"/>
    <x v="9"/>
    <n v="2575"/>
    <n v="735"/>
    <n v="28.54"/>
    <n v="832793.37"/>
  </r>
  <r>
    <x v="1"/>
    <x v="10"/>
    <n v="2442"/>
    <n v="663"/>
    <n v="27.15"/>
    <n v="760747"/>
  </r>
  <r>
    <x v="5"/>
    <x v="11"/>
    <n v="3394"/>
    <n v="972"/>
    <n v="28.64"/>
    <n v="759442.98"/>
  </r>
  <r>
    <x v="4"/>
    <x v="12"/>
    <n v="1456"/>
    <n v="402"/>
    <n v="27.61"/>
    <n v="732727.66"/>
  </r>
  <r>
    <x v="6"/>
    <x v="13"/>
    <n v="1236"/>
    <n v="343"/>
    <n v="27.75"/>
    <n v="708239.95"/>
  </r>
  <r>
    <x v="5"/>
    <x v="14"/>
    <n v="1750"/>
    <n v="491"/>
    <n v="28.06"/>
    <n v="689950.1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
  <r>
    <x v="0"/>
    <s v="Radiology"/>
    <x v="0"/>
    <n v="26"/>
    <n v="5883.83"/>
    <n v="14.2"/>
    <n v="30"/>
    <n v="41.2"/>
    <n v="5883.83"/>
  </r>
  <r>
    <x v="0"/>
    <s v="Emergency_Medicine"/>
    <x v="0"/>
    <n v="31"/>
    <n v="6067.32"/>
    <n v="13.4"/>
    <n v="37.9"/>
    <n v="51.7"/>
    <n v="11951.15"/>
  </r>
  <r>
    <x v="0"/>
    <s v="Behavioral_Health"/>
    <x v="0"/>
    <n v="22"/>
    <n v="698.65"/>
    <n v="15.3"/>
    <n v="33.799999999999997"/>
    <n v="32.299999999999997"/>
    <n v="12649.8"/>
  </r>
  <r>
    <x v="0"/>
    <s v="Physical_Therapy"/>
    <x v="0"/>
    <n v="8"/>
    <n v="270.52999999999997"/>
    <n v="15"/>
    <n v="30.4"/>
    <n v="71.3"/>
    <n v="12920.33"/>
  </r>
  <r>
    <x v="0"/>
    <s v="Obstetrics_Gynecology"/>
    <x v="0"/>
    <n v="14"/>
    <n v="12056.59"/>
    <n v="17.899999999999999"/>
    <n v="30.3"/>
    <n v="31"/>
    <n v="24976.92"/>
  </r>
  <r>
    <x v="0"/>
    <s v="Orthopedic_Surgery"/>
    <x v="0"/>
    <n v="17"/>
    <n v="8376.1"/>
    <n v="11.5"/>
    <n v="31.6"/>
    <n v="50"/>
    <n v="33353.019999999997"/>
  </r>
  <r>
    <x v="0"/>
    <s v="Oncology"/>
    <x v="0"/>
    <n v="19"/>
    <n v="10637.82"/>
    <n v="17"/>
    <n v="25.7"/>
    <n v="43.5"/>
    <n v="43990.84"/>
  </r>
  <r>
    <x v="0"/>
    <s v="Neurology"/>
    <x v="0"/>
    <n v="7"/>
    <n v="194.4"/>
    <n v="10"/>
    <n v="37.1"/>
    <n v="50"/>
    <n v="44185.24"/>
  </r>
  <r>
    <x v="0"/>
    <s v="Pulmonology"/>
    <x v="0"/>
    <n v="13"/>
    <n v="398.19"/>
    <n v="15.7"/>
    <n v="39.9"/>
    <n v="56.5"/>
    <n v="44583.43"/>
  </r>
  <r>
    <x v="0"/>
    <s v="Internal_Medicine"/>
    <x v="0"/>
    <n v="20"/>
    <n v="1174.53"/>
    <n v="12.8"/>
    <n v="30.8"/>
    <n v="66"/>
    <n v="45757.96"/>
  </r>
  <r>
    <x v="0"/>
    <s v="Gastroenterology"/>
    <x v="0"/>
    <n v="11"/>
    <n v="1738.24"/>
    <n v="13"/>
    <n v="38.299999999999997"/>
    <n v="55"/>
    <n v="47496.2"/>
  </r>
  <r>
    <x v="0"/>
    <s v="Cardiology"/>
    <x v="0"/>
    <n v="21"/>
    <n v="15020.19"/>
    <n v="12.9"/>
    <n v="28.9"/>
    <n v="49.7"/>
    <n v="62516.39"/>
  </r>
  <r>
    <x v="0"/>
    <s v="Primary_Care"/>
    <x v="0"/>
    <n v="11"/>
    <n v="432.69"/>
    <n v="15.2"/>
    <n v="32.700000000000003"/>
    <n v="52"/>
    <n v="62949.08"/>
  </r>
  <r>
    <x v="0"/>
    <s v="Cardiology"/>
    <x v="1"/>
    <n v="22"/>
    <n v="7446.7"/>
    <n v="44.8"/>
    <n v="26.6"/>
    <n v="54"/>
    <n v="70395.78"/>
  </r>
  <r>
    <x v="0"/>
    <s v="Radiology"/>
    <x v="1"/>
    <n v="13"/>
    <n v="3293.78"/>
    <n v="46.6"/>
    <n v="29"/>
    <n v="53.3"/>
    <n v="73689.56"/>
  </r>
  <r>
    <x v="0"/>
    <s v="Pulmonology"/>
    <x v="1"/>
    <n v="10"/>
    <n v="2641.37"/>
    <n v="46.7"/>
    <n v="35.700000000000003"/>
    <n v="36.799999999999997"/>
    <n v="76330.929999999993"/>
  </r>
  <r>
    <x v="0"/>
    <s v="Gastroenterology"/>
    <x v="1"/>
    <n v="12"/>
    <n v="12440.85"/>
    <n v="48.1"/>
    <n v="30.5"/>
    <n v="60.5"/>
    <n v="88771.78"/>
  </r>
  <r>
    <x v="0"/>
    <s v="Primary_Care"/>
    <x v="1"/>
    <n v="7"/>
    <n v="337.58"/>
    <n v="44.4"/>
    <n v="35.4"/>
    <n v="50.7"/>
    <n v="89109.36"/>
  </r>
  <r>
    <x v="0"/>
    <s v="Behavioral_Health"/>
    <x v="1"/>
    <n v="16"/>
    <n v="394.21"/>
    <n v="45.6"/>
    <n v="34.6"/>
    <n v="38.5"/>
    <n v="89503.57"/>
  </r>
  <r>
    <x v="0"/>
    <s v="Neurology"/>
    <x v="1"/>
    <n v="10"/>
    <n v="1384.25"/>
    <n v="49.4"/>
    <n v="34.6"/>
    <n v="48.5"/>
    <n v="90887.82"/>
  </r>
  <r>
    <x v="0"/>
    <s v="Obstetrics_Gynecology"/>
    <x v="1"/>
    <n v="9"/>
    <n v="5509.61"/>
    <n v="50.2"/>
    <n v="29.7"/>
    <n v="38.5"/>
    <n v="96397.43"/>
  </r>
  <r>
    <x v="0"/>
    <s v="Orthopedic_Surgery"/>
    <x v="1"/>
    <n v="10"/>
    <n v="15868.29"/>
    <n v="46.7"/>
    <n v="32.4"/>
    <n v="51.7"/>
    <n v="112265.72"/>
  </r>
  <r>
    <x v="0"/>
    <s v="Physical_Therapy"/>
    <x v="1"/>
    <n v="10"/>
    <n v="0"/>
    <n v="43.9"/>
    <n v="25.2"/>
    <m/>
    <n v="112265.72"/>
  </r>
  <r>
    <x v="0"/>
    <s v="Emergency_Medicine"/>
    <x v="1"/>
    <n v="33"/>
    <n v="2188.35"/>
    <n v="46.6"/>
    <n v="38.9"/>
    <n v="46.5"/>
    <n v="114454.07"/>
  </r>
  <r>
    <x v="0"/>
    <s v="Oncology"/>
    <x v="1"/>
    <n v="18"/>
    <n v="8165.58"/>
    <n v="49.5"/>
    <n v="27.3"/>
    <n v="50.1"/>
    <n v="122619.65"/>
  </r>
  <r>
    <x v="0"/>
    <s v="Internal_Medicine"/>
    <x v="1"/>
    <n v="23"/>
    <n v="621.19000000000005"/>
    <n v="42.9"/>
    <n v="26.7"/>
    <n v="40.299999999999997"/>
    <n v="123240.84"/>
  </r>
  <r>
    <x v="0"/>
    <s v="Oncology"/>
    <x v="2"/>
    <n v="13"/>
    <n v="717.46"/>
    <n v="74.2"/>
    <n v="25.2"/>
    <n v="18"/>
    <n v="130286.33"/>
  </r>
  <r>
    <x v="0"/>
    <s v="Radiology"/>
    <x v="2"/>
    <n v="13"/>
    <n v="0"/>
    <n v="72.8"/>
    <n v="30.6"/>
    <n v="0"/>
    <n v="125766.2"/>
  </r>
  <r>
    <x v="0"/>
    <s v="Behavioral_Health"/>
    <x v="2"/>
    <n v="18"/>
    <n v="518.08000000000004"/>
    <n v="76.8"/>
    <n v="33.9"/>
    <n v="63.3"/>
    <n v="126284.28"/>
  </r>
  <r>
    <x v="0"/>
    <s v="Physical_Therapy"/>
    <x v="2"/>
    <n v="6"/>
    <n v="148.24"/>
    <n v="76.5"/>
    <n v="28.7"/>
    <n v="51"/>
    <n v="126432.52"/>
  </r>
  <r>
    <x v="0"/>
    <s v="Neurology"/>
    <x v="2"/>
    <n v="13"/>
    <n v="1540.68"/>
    <n v="78.2"/>
    <n v="33.200000000000003"/>
    <n v="84"/>
    <n v="127973.2"/>
  </r>
  <r>
    <x v="0"/>
    <s v="Internal_Medicine"/>
    <x v="2"/>
    <n v="27"/>
    <n v="1595.67"/>
    <n v="78.099999999999994"/>
    <n v="34.700000000000003"/>
    <n v="46.4"/>
    <n v="129568.87"/>
  </r>
  <r>
    <x v="0"/>
    <s v="Emergency_Medicine"/>
    <x v="2"/>
    <n v="27"/>
    <n v="2525.36"/>
    <n v="77.7"/>
    <n v="40.5"/>
    <n v="40.9"/>
    <n v="125766.2"/>
  </r>
  <r>
    <x v="0"/>
    <s v="Gastroenterology"/>
    <x v="2"/>
    <n v="12"/>
    <n v="7030.29"/>
    <n v="75.2"/>
    <n v="33.299999999999997"/>
    <n v="42.4"/>
    <n v="137316.62"/>
  </r>
  <r>
    <x v="0"/>
    <s v="Obstetrics_Gynecology"/>
    <x v="2"/>
    <n v="9"/>
    <n v="0"/>
    <n v="73.900000000000006"/>
    <n v="27.7"/>
    <n v="0"/>
    <n v="137316.62"/>
  </r>
  <r>
    <x v="0"/>
    <s v="Primary_Care"/>
    <x v="2"/>
    <n v="14"/>
    <n v="394.62"/>
    <n v="80"/>
    <n v="31.4"/>
    <n v="38.5"/>
    <n v="137711.24"/>
  </r>
  <r>
    <x v="0"/>
    <s v="Cardiology"/>
    <x v="2"/>
    <n v="13"/>
    <n v="10600.76"/>
    <n v="72"/>
    <n v="27.2"/>
    <n v="53"/>
    <n v="148312"/>
  </r>
  <r>
    <x v="0"/>
    <s v="Pulmonology"/>
    <x v="2"/>
    <n v="7"/>
    <n v="1843.81"/>
    <n v="69.599999999999994"/>
    <n v="33.700000000000003"/>
    <n v="49"/>
    <n v="150155.81"/>
  </r>
  <r>
    <x v="0"/>
    <s v="Orthopedic_Surgery"/>
    <x v="2"/>
    <n v="20"/>
    <n v="17863.810000000001"/>
    <n v="76.2"/>
    <n v="31.9"/>
    <n v="41.8"/>
    <n v="168019.62"/>
  </r>
  <r>
    <x v="0"/>
    <s v="Physical_Therapy"/>
    <x v="3"/>
    <n v="10"/>
    <n v="0"/>
    <n v="104.7"/>
    <n v="29.5"/>
    <n v="0"/>
    <n v="217051.67"/>
  </r>
  <r>
    <x v="0"/>
    <s v="Radiology"/>
    <x v="3"/>
    <n v="12"/>
    <n v="2673.27"/>
    <n v="107.5"/>
    <n v="33.799999999999997"/>
    <n v="43"/>
    <n v="171372.71"/>
  </r>
  <r>
    <x v="0"/>
    <s v="Cardiology"/>
    <x v="3"/>
    <n v="25"/>
    <n v="11380.61"/>
    <n v="103.7"/>
    <n v="29.4"/>
    <n v="31.7"/>
    <n v="182753.32"/>
  </r>
  <r>
    <x v="0"/>
    <s v="Gastroenterology"/>
    <x v="3"/>
    <n v="11"/>
    <n v="8400.74"/>
    <n v="107.6"/>
    <n v="32.799999999999997"/>
    <n v="41.6"/>
    <n v="191154.06"/>
  </r>
  <r>
    <x v="0"/>
    <s v="Primary_Care"/>
    <x v="3"/>
    <n v="19"/>
    <n v="523.16999999999996"/>
    <n v="107.5"/>
    <n v="32.9"/>
    <n v="42.5"/>
    <n v="191677.23"/>
  </r>
  <r>
    <x v="0"/>
    <s v="Orthopedic_Surgery"/>
    <x v="3"/>
    <n v="14"/>
    <n v="24740.75"/>
    <n v="107.8"/>
    <n v="31.9"/>
    <n v="53.3"/>
    <n v="216417.98"/>
  </r>
  <r>
    <x v="0"/>
    <s v="Behavioral_Health"/>
    <x v="3"/>
    <n v="14"/>
    <n v="633.69000000000005"/>
    <n v="103.5"/>
    <n v="35.200000000000003"/>
    <n v="39"/>
    <n v="217051.67"/>
  </r>
  <r>
    <x v="0"/>
    <s v="Pulmonology"/>
    <x v="3"/>
    <n v="10"/>
    <n v="679.82"/>
    <n v="108.1"/>
    <n v="38.299999999999997"/>
    <n v="52.8"/>
    <n v="168699.44"/>
  </r>
  <r>
    <x v="0"/>
    <s v="Emergency_Medicine"/>
    <x v="3"/>
    <n v="30"/>
    <n v="8149.22"/>
    <n v="105.3"/>
    <n v="40.4"/>
    <n v="48.1"/>
    <n v="225200.89"/>
  </r>
  <r>
    <x v="0"/>
    <s v="Neurology"/>
    <x v="3"/>
    <n v="21"/>
    <n v="3641.61"/>
    <n v="110.7"/>
    <n v="34"/>
    <n v="52.1"/>
    <n v="228842.5"/>
  </r>
  <r>
    <x v="0"/>
    <s v="Oncology"/>
    <x v="3"/>
    <n v="6"/>
    <n v="0"/>
    <n v="106.2"/>
    <n v="30.2"/>
    <n v="0"/>
    <n v="228842.5"/>
  </r>
  <r>
    <x v="0"/>
    <s v="Internal_Medicine"/>
    <x v="3"/>
    <n v="25"/>
    <n v="782.1"/>
    <n v="107.3"/>
    <n v="26.9"/>
    <n v="69"/>
    <n v="229624.6"/>
  </r>
  <r>
    <x v="0"/>
    <s v="Obstetrics_Gynecology"/>
    <x v="3"/>
    <n v="6"/>
    <n v="3885.61"/>
    <n v="104.2"/>
    <n v="30"/>
    <n v="49"/>
    <n v="233510.21"/>
  </r>
  <r>
    <x v="0"/>
    <s v="Physical_Therapy"/>
    <x v="4"/>
    <n v="398"/>
    <n v="9266.07"/>
    <n v="675.6"/>
    <n v="28.2"/>
    <n v="49.8"/>
    <n v="242776.28"/>
  </r>
  <r>
    <x v="0"/>
    <s v="Obstetrics_Gynecology"/>
    <x v="4"/>
    <n v="394"/>
    <n v="241923.18"/>
    <n v="682.6"/>
    <n v="30.1"/>
    <n v="50.5"/>
    <n v="484699.46"/>
  </r>
  <r>
    <x v="0"/>
    <s v="Behavioral_Health"/>
    <x v="4"/>
    <n v="597"/>
    <n v="24450.880000000001"/>
    <n v="705.3"/>
    <n v="34.299999999999997"/>
    <n v="46.8"/>
    <n v="509150.34"/>
  </r>
  <r>
    <x v="0"/>
    <s v="Internal_Medicine"/>
    <x v="4"/>
    <n v="922"/>
    <n v="39936.86"/>
    <n v="687.1"/>
    <n v="32.299999999999997"/>
    <n v="49.1"/>
    <n v="549087.19999999995"/>
  </r>
  <r>
    <x v="0"/>
    <s v="Orthopedic_Surgery"/>
    <x v="4"/>
    <n v="731"/>
    <n v="831460.8"/>
    <n v="679.3"/>
    <n v="31.7"/>
    <n v="47.5"/>
    <n v="1380548"/>
  </r>
  <r>
    <x v="0"/>
    <s v="Gastroenterology"/>
    <x v="4"/>
    <n v="458"/>
    <n v="178166.54"/>
    <n v="682.7"/>
    <n v="33"/>
    <n v="48.1"/>
    <n v="1558714.54"/>
  </r>
  <r>
    <x v="0"/>
    <s v="Cardiology"/>
    <x v="4"/>
    <n v="813"/>
    <n v="343092.12"/>
    <n v="699.3"/>
    <n v="29.8"/>
    <n v="48.3"/>
    <n v="1901806.66"/>
  </r>
  <r>
    <x v="0"/>
    <s v="Primary_Care"/>
    <x v="4"/>
    <n v="464"/>
    <n v="18803.88"/>
    <n v="724.8"/>
    <n v="34.1"/>
    <n v="46.9"/>
    <n v="1920610.54"/>
  </r>
  <r>
    <x v="0"/>
    <s v="Emergency_Medicine"/>
    <x v="4"/>
    <n v="1021"/>
    <n v="199468.29"/>
    <n v="717.2"/>
    <n v="39.1"/>
    <n v="46.8"/>
    <n v="2120078.83"/>
  </r>
  <r>
    <x v="0"/>
    <s v="Pulmonology"/>
    <x v="4"/>
    <n v="376"/>
    <n v="73109.820000000007"/>
    <n v="697.4"/>
    <n v="37.700000000000003"/>
    <n v="47.9"/>
    <n v="2193188.65"/>
  </r>
  <r>
    <x v="0"/>
    <s v="Oncology"/>
    <x v="4"/>
    <n v="528"/>
    <n v="210643.56"/>
    <n v="707.8"/>
    <n v="28.9"/>
    <n v="46.5"/>
    <n v="2403832.21"/>
  </r>
  <r>
    <x v="0"/>
    <s v="Neurology"/>
    <x v="4"/>
    <n v="428"/>
    <n v="82880.820000000007"/>
    <n v="695.5"/>
    <n v="32.200000000000003"/>
    <n v="50"/>
    <n v="2486713.0299999998"/>
  </r>
  <r>
    <x v="0"/>
    <s v="Radiology"/>
    <x v="4"/>
    <n v="534"/>
    <n v="153455.31"/>
    <n v="688.3"/>
    <n v="29.7"/>
    <n v="48.3"/>
    <n v="2640168.34"/>
  </r>
  <r>
    <x v="1"/>
    <s v="Physical_Therapy"/>
    <x v="0"/>
    <n v="16"/>
    <n v="411.82"/>
    <n v="17.8"/>
    <n v="32.799999999999997"/>
    <n v="53.8"/>
    <n v="411.82"/>
  </r>
  <r>
    <x v="1"/>
    <s v="Emergency_Medicine"/>
    <x v="0"/>
    <n v="43"/>
    <n v="6621.57"/>
    <n v="15.4"/>
    <n v="28"/>
    <n v="53.5"/>
    <n v="7033.39"/>
  </r>
  <r>
    <x v="1"/>
    <s v="Cardiology"/>
    <x v="0"/>
    <n v="35"/>
    <n v="18970.62"/>
    <n v="15.5"/>
    <n v="21.9"/>
    <n v="49.3"/>
    <n v="26004.01"/>
  </r>
  <r>
    <x v="1"/>
    <s v="Pulmonology"/>
    <x v="0"/>
    <n v="19"/>
    <n v="4563.2299999999996"/>
    <n v="13.9"/>
    <n v="21"/>
    <n v="44.8"/>
    <n v="30567.24"/>
  </r>
  <r>
    <x v="1"/>
    <s v="Oncology"/>
    <x v="0"/>
    <n v="25"/>
    <n v="828.23"/>
    <n v="16.600000000000001"/>
    <n v="24.2"/>
    <n v="43.2"/>
    <n v="31395.47"/>
  </r>
  <r>
    <x v="1"/>
    <s v="Neurology"/>
    <x v="0"/>
    <n v="16"/>
    <n v="7699.92"/>
    <n v="16.899999999999999"/>
    <n v="26.5"/>
    <n v="48"/>
    <n v="39095.39"/>
  </r>
  <r>
    <x v="1"/>
    <s v="Radiology"/>
    <x v="0"/>
    <n v="25"/>
    <n v="7877.9"/>
    <n v="16.899999999999999"/>
    <n v="39.799999999999997"/>
    <n v="49.6"/>
    <n v="46973.29"/>
  </r>
  <r>
    <x v="1"/>
    <s v="Obstetrics_Gynecology"/>
    <x v="0"/>
    <n v="18"/>
    <n v="981.24"/>
    <n v="18.100000000000001"/>
    <n v="31.8"/>
    <n v="49.1"/>
    <n v="47954.53"/>
  </r>
  <r>
    <x v="1"/>
    <s v="Behavioral_Health"/>
    <x v="0"/>
    <n v="26"/>
    <n v="500.63"/>
    <n v="16.600000000000001"/>
    <n v="26.8"/>
    <n v="59.5"/>
    <n v="48455.16"/>
  </r>
  <r>
    <x v="1"/>
    <s v="Internal_Medicine"/>
    <x v="0"/>
    <n v="59"/>
    <n v="2320"/>
    <n v="16.100000000000001"/>
    <n v="25.2"/>
    <n v="44.4"/>
    <n v="50775.16"/>
  </r>
  <r>
    <x v="1"/>
    <s v="Primary_Care"/>
    <x v="0"/>
    <n v="20"/>
    <n v="811.15"/>
    <n v="13.8"/>
    <n v="29.9"/>
    <n v="39.6"/>
    <n v="51586.31"/>
  </r>
  <r>
    <x v="1"/>
    <s v="Gastroenterology"/>
    <x v="0"/>
    <n v="26"/>
    <n v="4163.49"/>
    <n v="18.3"/>
    <n v="23.5"/>
    <n v="27"/>
    <n v="55749.8"/>
  </r>
  <r>
    <x v="1"/>
    <s v="Orthopedic_Surgery"/>
    <x v="0"/>
    <n v="21"/>
    <n v="23626.7"/>
    <n v="17.2"/>
    <n v="30.1"/>
    <n v="40"/>
    <n v="79376.5"/>
  </r>
  <r>
    <x v="1"/>
    <s v="Behavioral_Health"/>
    <x v="1"/>
    <n v="19"/>
    <n v="938.95"/>
    <n v="46.7"/>
    <n v="26.3"/>
    <n v="51.2"/>
    <n v="80315.45"/>
  </r>
  <r>
    <x v="1"/>
    <s v="Physical_Therapy"/>
    <x v="1"/>
    <n v="16"/>
    <n v="157.82"/>
    <n v="46.1"/>
    <n v="35.200000000000003"/>
    <n v="60"/>
    <n v="80473.27"/>
  </r>
  <r>
    <x v="1"/>
    <s v="Neurology"/>
    <x v="1"/>
    <n v="26"/>
    <n v="17380.07"/>
    <n v="43.7"/>
    <n v="28.2"/>
    <n v="53.6"/>
    <n v="97853.34"/>
  </r>
  <r>
    <x v="1"/>
    <s v="Radiology"/>
    <x v="1"/>
    <n v="26"/>
    <n v="8293.32"/>
    <n v="45.3"/>
    <n v="38.6"/>
    <n v="54.8"/>
    <n v="106146.66"/>
  </r>
  <r>
    <x v="1"/>
    <s v="Obstetrics_Gynecology"/>
    <x v="1"/>
    <n v="27"/>
    <n v="31426.85"/>
    <n v="44.2"/>
    <n v="30.7"/>
    <n v="57.5"/>
    <n v="137573.51"/>
  </r>
  <r>
    <x v="1"/>
    <s v="Emergency_Medicine"/>
    <x v="1"/>
    <n v="43"/>
    <n v="8766.67"/>
    <n v="43"/>
    <n v="27.1"/>
    <n v="40.799999999999997"/>
    <n v="146340.18"/>
  </r>
  <r>
    <x v="1"/>
    <s v="Oncology"/>
    <x v="1"/>
    <n v="28"/>
    <n v="13085.26"/>
    <n v="45.5"/>
    <n v="24.4"/>
    <n v="49.7"/>
    <n v="159425.44"/>
  </r>
  <r>
    <x v="1"/>
    <s v="Pulmonology"/>
    <x v="1"/>
    <n v="19"/>
    <n v="580.74"/>
    <n v="45.7"/>
    <n v="23.9"/>
    <n v="45"/>
    <n v="160006.18"/>
  </r>
  <r>
    <x v="1"/>
    <s v="Primary_Care"/>
    <x v="1"/>
    <n v="19"/>
    <n v="924.24"/>
    <n v="43.6"/>
    <n v="30.7"/>
    <n v="68"/>
    <n v="160930.42000000001"/>
  </r>
  <r>
    <x v="1"/>
    <s v="Gastroenterology"/>
    <x v="1"/>
    <n v="23"/>
    <n v="8815.23"/>
    <n v="46.4"/>
    <n v="25"/>
    <n v="41.4"/>
    <n v="169745.65"/>
  </r>
  <r>
    <x v="1"/>
    <s v="Internal_Medicine"/>
    <x v="1"/>
    <n v="47"/>
    <n v="2485.0700000000002"/>
    <n v="44.7"/>
    <n v="25.7"/>
    <n v="49"/>
    <n v="172230.72"/>
  </r>
  <r>
    <x v="1"/>
    <s v="Cardiology"/>
    <x v="1"/>
    <n v="45"/>
    <n v="8904.4599999999991"/>
    <n v="47.3"/>
    <n v="20.3"/>
    <n v="57.3"/>
    <n v="181135.18"/>
  </r>
  <r>
    <x v="1"/>
    <s v="Orthopedic_Surgery"/>
    <x v="1"/>
    <n v="37"/>
    <n v="22670.73"/>
    <n v="46.1"/>
    <n v="32.299999999999997"/>
    <n v="31.1"/>
    <n v="203805.91"/>
  </r>
  <r>
    <x v="1"/>
    <s v="Gastroenterology"/>
    <x v="2"/>
    <n v="22"/>
    <n v="8921.31"/>
    <n v="77.2"/>
    <n v="25.8"/>
    <n v="36.799999999999997"/>
    <n v="234850.15"/>
  </r>
  <r>
    <x v="1"/>
    <s v="Internal_Medicine"/>
    <x v="2"/>
    <n v="50"/>
    <n v="2646.73"/>
    <n v="77.2"/>
    <n v="27.8"/>
    <n v="51.5"/>
    <n v="217044.24"/>
  </r>
  <r>
    <x v="1"/>
    <s v="Behavioral_Health"/>
    <x v="2"/>
    <n v="28"/>
    <n v="1426.49"/>
    <n v="78.3"/>
    <n v="28.6"/>
    <n v="51.3"/>
    <n v="218470.73"/>
  </r>
  <r>
    <x v="1"/>
    <s v="Physical_Therapy"/>
    <x v="2"/>
    <n v="22"/>
    <n v="296.74"/>
    <n v="78.7"/>
    <n v="36.799999999999997"/>
    <n v="35.799999999999997"/>
    <n v="218767.47"/>
  </r>
  <r>
    <x v="1"/>
    <s v="Primary_Care"/>
    <x v="2"/>
    <n v="27"/>
    <n v="770.83"/>
    <n v="72.3"/>
    <n v="28.6"/>
    <n v="41.6"/>
    <n v="219538.3"/>
  </r>
  <r>
    <x v="1"/>
    <s v="Neurology"/>
    <x v="2"/>
    <n v="21"/>
    <n v="6390.54"/>
    <n v="74.599999999999994"/>
    <n v="29"/>
    <n v="45"/>
    <n v="225928.84"/>
  </r>
  <r>
    <x v="1"/>
    <s v="Oncology"/>
    <x v="2"/>
    <n v="22"/>
    <n v="10591.6"/>
    <n v="72.3"/>
    <n v="22.6"/>
    <n v="50.1"/>
    <n v="214397.51"/>
  </r>
  <r>
    <x v="1"/>
    <s v="Emergency_Medicine"/>
    <x v="2"/>
    <n v="51"/>
    <n v="17042.63"/>
    <n v="75.7"/>
    <n v="27.4"/>
    <n v="54"/>
    <n v="251892.78"/>
  </r>
  <r>
    <x v="1"/>
    <s v="Pulmonology"/>
    <x v="2"/>
    <n v="17"/>
    <n v="402.16"/>
    <n v="71.7"/>
    <n v="18.2"/>
    <n v="44.8"/>
    <n v="252294.94"/>
  </r>
  <r>
    <x v="1"/>
    <s v="Radiology"/>
    <x v="2"/>
    <n v="21"/>
    <n v="5580.24"/>
    <n v="76.5"/>
    <n v="36.6"/>
    <n v="36"/>
    <n v="257875.18"/>
  </r>
  <r>
    <x v="1"/>
    <s v="Orthopedic_Surgery"/>
    <x v="2"/>
    <n v="27"/>
    <n v="25789.75"/>
    <n v="74.3"/>
    <n v="29.9"/>
    <n v="43.9"/>
    <n v="283664.93"/>
  </r>
  <r>
    <x v="1"/>
    <s v="Obstetrics_Gynecology"/>
    <x v="2"/>
    <n v="9"/>
    <n v="12541.16"/>
    <n v="75.900000000000006"/>
    <n v="26.6"/>
    <n v="53"/>
    <n v="296206.09000000003"/>
  </r>
  <r>
    <x v="1"/>
    <s v="Cardiology"/>
    <x v="2"/>
    <n v="33"/>
    <n v="36947.160000000003"/>
    <n v="76.400000000000006"/>
    <n v="24.1"/>
    <n v="45.2"/>
    <n v="333153.25"/>
  </r>
  <r>
    <x v="1"/>
    <s v="Behavioral_Health"/>
    <x v="3"/>
    <n v="27"/>
    <n v="216.02"/>
    <n v="102.5"/>
    <n v="27.4"/>
    <n v="81"/>
    <n v="406750.73"/>
  </r>
  <r>
    <x v="1"/>
    <s v="Oncology"/>
    <x v="3"/>
    <n v="21"/>
    <n v="11468.53"/>
    <n v="105"/>
    <n v="26"/>
    <n v="52.7"/>
    <n v="377257.77"/>
  </r>
  <r>
    <x v="1"/>
    <s v="Gastroenterology"/>
    <x v="3"/>
    <n v="24"/>
    <n v="10398.56"/>
    <n v="103.7"/>
    <n v="24.3"/>
    <n v="50.3"/>
    <n v="387656.33"/>
  </r>
  <r>
    <x v="1"/>
    <s v="Radiology"/>
    <x v="3"/>
    <n v="33"/>
    <n v="6522.21"/>
    <n v="103"/>
    <n v="39.299999999999997"/>
    <n v="49.7"/>
    <n v="394178.54"/>
  </r>
  <r>
    <x v="1"/>
    <s v="Emergency_Medicine"/>
    <x v="3"/>
    <n v="50"/>
    <n v="10378.120000000001"/>
    <n v="105.8"/>
    <n v="26.4"/>
    <n v="72"/>
    <n v="404556.66"/>
  </r>
  <r>
    <x v="1"/>
    <s v="Internal_Medicine"/>
    <x v="3"/>
    <n v="39"/>
    <n v="1534.92"/>
    <n v="105.9"/>
    <n v="24.3"/>
    <n v="58.9"/>
    <n v="406091.58"/>
  </r>
  <r>
    <x v="1"/>
    <s v="Pulmonology"/>
    <x v="3"/>
    <n v="18"/>
    <n v="443.13"/>
    <n v="107.6"/>
    <n v="20.8"/>
    <n v="42.3"/>
    <n v="406534.71"/>
  </r>
  <r>
    <x v="1"/>
    <s v="Cardiology"/>
    <x v="3"/>
    <n v="44"/>
    <n v="32635.99"/>
    <n v="105.8"/>
    <n v="24.3"/>
    <n v="44.4"/>
    <n v="365789.24"/>
  </r>
  <r>
    <x v="1"/>
    <s v="Orthopedic_Surgery"/>
    <x v="3"/>
    <n v="32"/>
    <n v="54280.44"/>
    <n v="106.3"/>
    <n v="28.1"/>
    <n v="59.9"/>
    <n v="461031.17"/>
  </r>
  <r>
    <x v="1"/>
    <s v="Primary_Care"/>
    <x v="3"/>
    <n v="24"/>
    <n v="1120.6600000000001"/>
    <n v="105.6"/>
    <n v="32.200000000000003"/>
    <n v="53.9"/>
    <n v="462151.83"/>
  </r>
  <r>
    <x v="1"/>
    <s v="Neurology"/>
    <x v="3"/>
    <n v="18"/>
    <n v="572.16"/>
    <n v="105.6"/>
    <n v="25.3"/>
    <n v="32.799999999999997"/>
    <n v="462723.99"/>
  </r>
  <r>
    <x v="1"/>
    <s v="Physical_Therapy"/>
    <x v="3"/>
    <n v="20"/>
    <n v="449.19"/>
    <n v="104.4"/>
    <n v="36.9"/>
    <n v="50.8"/>
    <n v="463173.18"/>
  </r>
  <r>
    <x v="1"/>
    <s v="Obstetrics_Gynecology"/>
    <x v="3"/>
    <n v="18"/>
    <n v="17756.259999999998"/>
    <n v="105.9"/>
    <n v="33"/>
    <n v="60.7"/>
    <n v="480929.44"/>
  </r>
  <r>
    <x v="1"/>
    <s v="Oncology"/>
    <x v="4"/>
    <n v="988"/>
    <n v="357866.03"/>
    <n v="681"/>
    <n v="24.5"/>
    <n v="49.2"/>
    <n v="838795.47"/>
  </r>
  <r>
    <x v="1"/>
    <s v="Pulmonology"/>
    <x v="4"/>
    <n v="699"/>
    <n v="110774.96"/>
    <n v="685.9"/>
    <n v="21.4"/>
    <n v="47.8"/>
    <n v="949570.43"/>
  </r>
  <r>
    <x v="1"/>
    <s v="Orthopedic_Surgery"/>
    <x v="4"/>
    <n v="1268"/>
    <n v="1412388.67"/>
    <n v="692.9"/>
    <n v="29"/>
    <n v="48"/>
    <n v="2361959.1"/>
  </r>
  <r>
    <x v="1"/>
    <s v="Physical_Therapy"/>
    <x v="4"/>
    <n v="699"/>
    <n v="16408.52"/>
    <n v="694.9"/>
    <n v="35.799999999999997"/>
    <n v="49.7"/>
    <n v="2378367.62"/>
  </r>
  <r>
    <x v="1"/>
    <s v="Behavioral_Health"/>
    <x v="4"/>
    <n v="1089"/>
    <n v="40442.28"/>
    <n v="688.6"/>
    <n v="26.9"/>
    <n v="50.3"/>
    <n v="2418809.9"/>
  </r>
  <r>
    <x v="1"/>
    <s v="Cardiology"/>
    <x v="4"/>
    <n v="1405"/>
    <n v="779556.25"/>
    <n v="700.9"/>
    <n v="23.2"/>
    <n v="48.5"/>
    <n v="3198366.15"/>
  </r>
  <r>
    <x v="1"/>
    <s v="Radiology"/>
    <x v="4"/>
    <n v="993"/>
    <n v="276363.18"/>
    <n v="712.6"/>
    <n v="39"/>
    <n v="50.7"/>
    <n v="3474729.33"/>
  </r>
  <r>
    <x v="1"/>
    <s v="Obstetrics_Gynecology"/>
    <x v="4"/>
    <n v="704"/>
    <n v="594084.67000000004"/>
    <n v="720.5"/>
    <n v="31.2"/>
    <n v="50.4"/>
    <n v="4068814"/>
  </r>
  <r>
    <x v="1"/>
    <s v="Primary_Care"/>
    <x v="4"/>
    <n v="828"/>
    <n v="35960.68"/>
    <n v="704.2"/>
    <n v="30.4"/>
    <n v="52.2"/>
    <n v="4104774.68"/>
  </r>
  <r>
    <x v="1"/>
    <s v="Emergency_Medicine"/>
    <x v="4"/>
    <n v="1982"/>
    <n v="347504.86"/>
    <n v="688.6"/>
    <n v="27"/>
    <n v="46.8"/>
    <n v="4452279.54"/>
  </r>
  <r>
    <x v="1"/>
    <s v="Gastroenterology"/>
    <x v="4"/>
    <n v="840"/>
    <n v="416282.26"/>
    <n v="690.7"/>
    <n v="25.3"/>
    <n v="52"/>
    <n v="4868561.8"/>
  </r>
  <r>
    <x v="1"/>
    <s v="Neurology"/>
    <x v="4"/>
    <n v="818"/>
    <n v="134238.96"/>
    <n v="692.5"/>
    <n v="25.6"/>
    <n v="48.4"/>
    <n v="5002800.76"/>
  </r>
  <r>
    <x v="1"/>
    <s v="Internal_Medicine"/>
    <x v="4"/>
    <n v="1703"/>
    <n v="68701.009999999995"/>
    <n v="705.9"/>
    <n v="25.8"/>
    <n v="47.7"/>
    <n v="5071501.7699999996"/>
  </r>
  <r>
    <x v="2"/>
    <s v="Emergency_Medicine"/>
    <x v="0"/>
    <n v="92"/>
    <n v="20562.53"/>
    <n v="15.6"/>
    <n v="29.6"/>
    <n v="50.2"/>
    <n v="20562.53"/>
  </r>
  <r>
    <x v="2"/>
    <s v="Gastroenterology"/>
    <x v="0"/>
    <n v="54"/>
    <n v="32647.91"/>
    <n v="15.7"/>
    <n v="24.6"/>
    <n v="51.4"/>
    <n v="53210.44"/>
  </r>
  <r>
    <x v="2"/>
    <s v="Obstetrics_Gynecology"/>
    <x v="0"/>
    <n v="37"/>
    <n v="44488.22"/>
    <n v="18.5"/>
    <n v="31.9"/>
    <n v="52.2"/>
    <n v="97698.66"/>
  </r>
  <r>
    <x v="2"/>
    <s v="Internal_Medicine"/>
    <x v="0"/>
    <n v="81"/>
    <n v="2357.88"/>
    <n v="14.9"/>
    <n v="30.4"/>
    <n v="46.9"/>
    <n v="100056.54"/>
  </r>
  <r>
    <x v="2"/>
    <s v="Pulmonology"/>
    <x v="0"/>
    <n v="39"/>
    <n v="4512.92"/>
    <n v="16.3"/>
    <n v="32.200000000000003"/>
    <n v="49"/>
    <n v="104569.46"/>
  </r>
  <r>
    <x v="2"/>
    <s v="Radiology"/>
    <x v="0"/>
    <n v="57"/>
    <n v="22391.54"/>
    <n v="13.5"/>
    <n v="35.700000000000003"/>
    <n v="53.5"/>
    <n v="126961"/>
  </r>
  <r>
    <x v="2"/>
    <s v="Neurology"/>
    <x v="0"/>
    <n v="61"/>
    <n v="5327.84"/>
    <n v="17.600000000000001"/>
    <n v="35.5"/>
    <n v="41.5"/>
    <n v="132288.84"/>
  </r>
  <r>
    <x v="2"/>
    <s v="Physical_Therapy"/>
    <x v="0"/>
    <n v="37"/>
    <n v="479.73"/>
    <n v="15.1"/>
    <n v="31.5"/>
    <n v="53.8"/>
    <n v="132768.57"/>
  </r>
  <r>
    <x v="2"/>
    <s v="Behavioral_Health"/>
    <x v="0"/>
    <n v="53"/>
    <n v="1798.19"/>
    <n v="13.7"/>
    <n v="29.1"/>
    <n v="53.5"/>
    <n v="134566.76"/>
  </r>
  <r>
    <x v="2"/>
    <s v="Cardiology"/>
    <x v="0"/>
    <n v="64"/>
    <n v="37906.879999999997"/>
    <n v="13.8"/>
    <n v="28"/>
    <n v="48.9"/>
    <n v="172473.64"/>
  </r>
  <r>
    <x v="2"/>
    <s v="Primary_Care"/>
    <x v="0"/>
    <n v="61"/>
    <n v="2748.24"/>
    <n v="15.9"/>
    <n v="26.9"/>
    <n v="53.9"/>
    <n v="175221.88"/>
  </r>
  <r>
    <x v="2"/>
    <s v="Orthopedic_Surgery"/>
    <x v="0"/>
    <n v="68"/>
    <n v="35310.85"/>
    <n v="15.4"/>
    <n v="29.6"/>
    <n v="43.8"/>
    <n v="210532.73"/>
  </r>
  <r>
    <x v="2"/>
    <s v="Oncology"/>
    <x v="0"/>
    <n v="46"/>
    <n v="10453.14"/>
    <n v="14.7"/>
    <n v="31.2"/>
    <n v="42"/>
    <n v="220985.87"/>
  </r>
  <r>
    <x v="2"/>
    <s v="Pulmonology"/>
    <x v="1"/>
    <n v="24"/>
    <n v="397"/>
    <n v="46"/>
    <n v="29.3"/>
    <n v="35.5"/>
    <n v="221382.87"/>
  </r>
  <r>
    <x v="2"/>
    <s v="Obstetrics_Gynecology"/>
    <x v="1"/>
    <n v="39"/>
    <n v="55986.39"/>
    <n v="47.1"/>
    <n v="33.9"/>
    <n v="54"/>
    <n v="277369.26"/>
  </r>
  <r>
    <x v="2"/>
    <s v="Neurology"/>
    <x v="1"/>
    <n v="45"/>
    <n v="5869.66"/>
    <n v="46.8"/>
    <n v="32.4"/>
    <n v="54.5"/>
    <n v="283238.92"/>
  </r>
  <r>
    <x v="2"/>
    <s v="Gastroenterology"/>
    <x v="1"/>
    <n v="40"/>
    <n v="17616.09"/>
    <n v="44.8"/>
    <n v="24.5"/>
    <n v="37.9"/>
    <n v="300855.01"/>
  </r>
  <r>
    <x v="2"/>
    <s v="Emergency_Medicine"/>
    <x v="1"/>
    <n v="80"/>
    <n v="13572.73"/>
    <n v="45.5"/>
    <n v="28"/>
    <n v="45.8"/>
    <n v="314427.74"/>
  </r>
  <r>
    <x v="2"/>
    <s v="Internal_Medicine"/>
    <x v="1"/>
    <n v="87"/>
    <n v="3626.09"/>
    <n v="46.8"/>
    <n v="30"/>
    <n v="43.6"/>
    <n v="318053.83"/>
  </r>
  <r>
    <x v="2"/>
    <s v="Radiology"/>
    <x v="1"/>
    <n v="63"/>
    <n v="22783.51"/>
    <n v="45.3"/>
    <n v="35.200000000000003"/>
    <n v="52.7"/>
    <n v="340837.34"/>
  </r>
  <r>
    <x v="2"/>
    <s v="Primary_Care"/>
    <x v="1"/>
    <n v="39"/>
    <n v="1474.17"/>
    <n v="46.9"/>
    <n v="25.6"/>
    <n v="40.700000000000003"/>
    <n v="342311.51"/>
  </r>
  <r>
    <x v="2"/>
    <s v="Orthopedic_Surgery"/>
    <x v="1"/>
    <n v="58"/>
    <n v="124011.74"/>
    <n v="45"/>
    <n v="28.2"/>
    <n v="49"/>
    <n v="466323.25"/>
  </r>
  <r>
    <x v="2"/>
    <s v="Behavioral_Health"/>
    <x v="1"/>
    <n v="46"/>
    <n v="1345.67"/>
    <n v="45.4"/>
    <n v="29"/>
    <n v="34.1"/>
    <n v="467668.92"/>
  </r>
  <r>
    <x v="2"/>
    <s v="Cardiology"/>
    <x v="1"/>
    <n v="73"/>
    <n v="35076.879999999997"/>
    <n v="44.8"/>
    <n v="27"/>
    <n v="48.1"/>
    <n v="502745.8"/>
  </r>
  <r>
    <x v="2"/>
    <s v="Physical_Therapy"/>
    <x v="1"/>
    <n v="42"/>
    <n v="862.29"/>
    <n v="44.7"/>
    <n v="31.8"/>
    <n v="36.700000000000003"/>
    <n v="503608.09"/>
  </r>
  <r>
    <x v="2"/>
    <s v="Oncology"/>
    <x v="1"/>
    <n v="60"/>
    <n v="17078.45"/>
    <n v="46.4"/>
    <n v="30.7"/>
    <n v="35.1"/>
    <n v="520686.54"/>
  </r>
  <r>
    <x v="2"/>
    <s v="Pulmonology"/>
    <x v="2"/>
    <n v="37"/>
    <n v="2902.35"/>
    <n v="73.099999999999994"/>
    <n v="35.9"/>
    <n v="48.4"/>
    <n v="751302.89"/>
  </r>
  <r>
    <x v="2"/>
    <s v="Physical_Therapy"/>
    <x v="2"/>
    <n v="42"/>
    <n v="811.63"/>
    <n v="76.900000000000006"/>
    <n v="29"/>
    <n v="40.799999999999997"/>
    <n v="523214.53"/>
  </r>
  <r>
    <x v="2"/>
    <s v="Orthopedic_Surgery"/>
    <x v="2"/>
    <n v="77"/>
    <n v="189231.41"/>
    <n v="74.7"/>
    <n v="27.9"/>
    <n v="49.1"/>
    <n v="712445.94"/>
  </r>
  <r>
    <x v="2"/>
    <s v="Obstetrics_Gynecology"/>
    <x v="2"/>
    <n v="24"/>
    <n v="28112.45"/>
    <n v="75.599999999999994"/>
    <n v="33.6"/>
    <n v="64"/>
    <n v="740558.39"/>
  </r>
  <r>
    <x v="2"/>
    <s v="Behavioral_Health"/>
    <x v="2"/>
    <n v="65"/>
    <n v="2616.64"/>
    <n v="75.3"/>
    <n v="27.5"/>
    <n v="46.6"/>
    <n v="743175.03"/>
  </r>
  <r>
    <x v="2"/>
    <s v="Neurology"/>
    <x v="2"/>
    <n v="41"/>
    <n v="5225.51"/>
    <n v="75.2"/>
    <n v="32.9"/>
    <n v="44.5"/>
    <n v="748400.54"/>
  </r>
  <r>
    <x v="2"/>
    <s v="Primary_Care"/>
    <x v="2"/>
    <n v="37"/>
    <n v="1716.36"/>
    <n v="76.5"/>
    <n v="26.5"/>
    <n v="46.8"/>
    <n v="522402.9"/>
  </r>
  <r>
    <x v="2"/>
    <s v="Gastroenterology"/>
    <x v="2"/>
    <n v="54"/>
    <n v="31222.57"/>
    <n v="73.599999999999994"/>
    <n v="26.8"/>
    <n v="50.1"/>
    <n v="782525.46"/>
  </r>
  <r>
    <x v="2"/>
    <s v="Internal_Medicine"/>
    <x v="2"/>
    <n v="88"/>
    <n v="4513.7"/>
    <n v="74"/>
    <n v="29.9"/>
    <n v="52.5"/>
    <n v="787039.16"/>
  </r>
  <r>
    <x v="2"/>
    <s v="Oncology"/>
    <x v="2"/>
    <n v="43"/>
    <n v="15096.42"/>
    <n v="72.900000000000006"/>
    <n v="32"/>
    <n v="49.7"/>
    <n v="802135.58"/>
  </r>
  <r>
    <x v="2"/>
    <s v="Radiology"/>
    <x v="2"/>
    <n v="50"/>
    <n v="10462.36"/>
    <n v="74.099999999999994"/>
    <n v="33.6"/>
    <n v="45.5"/>
    <n v="812597.94"/>
  </r>
  <r>
    <x v="2"/>
    <s v="Emergency_Medicine"/>
    <x v="2"/>
    <n v="96"/>
    <n v="24253.759999999998"/>
    <n v="75.3"/>
    <n v="29.3"/>
    <n v="50.7"/>
    <n v="836851.7"/>
  </r>
  <r>
    <x v="2"/>
    <s v="Cardiology"/>
    <x v="2"/>
    <n v="79"/>
    <n v="42044.2"/>
    <n v="74.7"/>
    <n v="26.1"/>
    <n v="35.9"/>
    <n v="878895.9"/>
  </r>
  <r>
    <x v="2"/>
    <s v="Physical_Therapy"/>
    <x v="3"/>
    <n v="41"/>
    <n v="1041.01"/>
    <n v="103.7"/>
    <n v="33.700000000000003"/>
    <n v="52.1"/>
    <n v="995575.79"/>
  </r>
  <r>
    <x v="2"/>
    <s v="Internal_Medicine"/>
    <x v="3"/>
    <n v="86"/>
    <n v="3137.8"/>
    <n v="104.1"/>
    <n v="29.7"/>
    <n v="46.5"/>
    <n v="903122.52"/>
  </r>
  <r>
    <x v="2"/>
    <s v="Cardiology"/>
    <x v="3"/>
    <n v="68"/>
    <n v="32997.72"/>
    <n v="105.4"/>
    <n v="26.7"/>
    <n v="38.5"/>
    <n v="936120.24"/>
  </r>
  <r>
    <x v="2"/>
    <s v="Pulmonology"/>
    <x v="3"/>
    <n v="33"/>
    <n v="4992.54"/>
    <n v="105.7"/>
    <n v="34.200000000000003"/>
    <n v="42.2"/>
    <n v="941112.78"/>
  </r>
  <r>
    <x v="2"/>
    <s v="Emergency_Medicine"/>
    <x v="3"/>
    <n v="85"/>
    <n v="19062.11"/>
    <n v="105.6"/>
    <n v="28.7"/>
    <n v="49.2"/>
    <n v="960174.89"/>
  </r>
  <r>
    <x v="2"/>
    <s v="Oncology"/>
    <x v="3"/>
    <n v="60"/>
    <n v="31668.18"/>
    <n v="106.2"/>
    <n v="31.3"/>
    <n v="44.6"/>
    <n v="991843.07"/>
  </r>
  <r>
    <x v="2"/>
    <s v="Behavioral_Health"/>
    <x v="3"/>
    <n v="56"/>
    <n v="2691.71"/>
    <n v="104.8"/>
    <n v="28.5"/>
    <n v="54"/>
    <n v="994534.78"/>
  </r>
  <r>
    <x v="2"/>
    <s v="Radiology"/>
    <x v="3"/>
    <n v="57"/>
    <n v="21088.82"/>
    <n v="104.4"/>
    <n v="35.700000000000003"/>
    <n v="51.8"/>
    <n v="899984.72"/>
  </r>
  <r>
    <x v="2"/>
    <s v="Primary_Care"/>
    <x v="3"/>
    <n v="51"/>
    <n v="1580.61"/>
    <n v="105.7"/>
    <n v="26.6"/>
    <n v="52.8"/>
    <n v="997156.4"/>
  </r>
  <r>
    <x v="2"/>
    <s v="Neurology"/>
    <x v="3"/>
    <n v="39"/>
    <n v="14398.08"/>
    <n v="103.5"/>
    <n v="36.6"/>
    <n v="54.1"/>
    <n v="1011554.48"/>
  </r>
  <r>
    <x v="2"/>
    <s v="Obstetrics_Gynecology"/>
    <x v="3"/>
    <n v="39"/>
    <n v="29873.360000000001"/>
    <n v="104.6"/>
    <n v="33.4"/>
    <n v="55.1"/>
    <n v="1041427.84"/>
  </r>
  <r>
    <x v="2"/>
    <s v="Orthopedic_Surgery"/>
    <x v="3"/>
    <n v="66"/>
    <n v="115393.62"/>
    <n v="106.7"/>
    <n v="30.5"/>
    <n v="53.2"/>
    <n v="1156821.46"/>
  </r>
  <r>
    <x v="2"/>
    <s v="Gastroenterology"/>
    <x v="3"/>
    <n v="38"/>
    <n v="18957.25"/>
    <n v="107.6"/>
    <n v="23.9"/>
    <n v="51.5"/>
    <n v="1175778.71"/>
  </r>
  <r>
    <x v="2"/>
    <s v="Pulmonology"/>
    <x v="4"/>
    <n v="1375"/>
    <n v="260867.97"/>
    <n v="711.7"/>
    <n v="32.799999999999997"/>
    <n v="49.2"/>
    <n v="1436646.68"/>
  </r>
  <r>
    <x v="2"/>
    <s v="Oncology"/>
    <x v="4"/>
    <n v="1975"/>
    <n v="716498.55"/>
    <n v="698.9"/>
    <n v="31.8"/>
    <n v="46.6"/>
    <n v="2153145.23"/>
  </r>
  <r>
    <x v="2"/>
    <s v="Neurology"/>
    <x v="4"/>
    <n v="1611"/>
    <n v="270479.71999999997"/>
    <n v="700"/>
    <n v="34.799999999999997"/>
    <n v="45.8"/>
    <n v="2423624.9500000002"/>
  </r>
  <r>
    <x v="2"/>
    <s v="Internal_Medicine"/>
    <x v="4"/>
    <n v="3232"/>
    <n v="142970.47"/>
    <n v="705.5"/>
    <n v="30.5"/>
    <n v="48.8"/>
    <n v="2566595.42"/>
  </r>
  <r>
    <x v="2"/>
    <s v="Physical_Therapy"/>
    <x v="4"/>
    <n v="1368"/>
    <n v="36639.9"/>
    <n v="684.2"/>
    <n v="30.9"/>
    <n v="50.5"/>
    <n v="2603235.3199999998"/>
  </r>
  <r>
    <x v="2"/>
    <s v="Obstetrics_Gynecology"/>
    <x v="4"/>
    <n v="1340"/>
    <n v="1085940.74"/>
    <n v="688.7"/>
    <n v="32.299999999999997"/>
    <n v="47.7"/>
    <n v="3689176.06"/>
  </r>
  <r>
    <x v="2"/>
    <s v="Primary_Care"/>
    <x v="4"/>
    <n v="1628"/>
    <n v="65958.55"/>
    <n v="702"/>
    <n v="26"/>
    <n v="47.2"/>
    <n v="3755134.61"/>
  </r>
  <r>
    <x v="2"/>
    <s v="Gastroenterology"/>
    <x v="4"/>
    <n v="1610"/>
    <n v="743052.97"/>
    <n v="702.1"/>
    <n v="25.7"/>
    <n v="50.1"/>
    <n v="4498187.58"/>
  </r>
  <r>
    <x v="2"/>
    <s v="Behavioral_Health"/>
    <x v="4"/>
    <n v="2135"/>
    <n v="81179.820000000007"/>
    <n v="688.6"/>
    <n v="28.2"/>
    <n v="48.2"/>
    <n v="4579367.4000000004"/>
  </r>
  <r>
    <x v="2"/>
    <s v="Emergency_Medicine"/>
    <x v="4"/>
    <n v="3743"/>
    <n v="756413.85"/>
    <n v="692.9"/>
    <n v="28.9"/>
    <n v="48.8"/>
    <n v="5335781.25"/>
  </r>
  <r>
    <x v="2"/>
    <s v="Radiology"/>
    <x v="4"/>
    <n v="1905"/>
    <n v="624874.31000000006"/>
    <n v="691.5"/>
    <n v="35.6"/>
    <n v="50"/>
    <n v="5960655.5599999996"/>
  </r>
  <r>
    <x v="2"/>
    <s v="Cardiology"/>
    <x v="4"/>
    <n v="2733"/>
    <n v="1630663.11"/>
    <n v="706.2"/>
    <n v="26.9"/>
    <n v="46.8"/>
    <n v="7591318.6699999999"/>
  </r>
  <r>
    <x v="2"/>
    <s v="Orthopedic_Surgery"/>
    <x v="4"/>
    <n v="2463"/>
    <n v="2927405.9"/>
    <n v="694.7"/>
    <n v="30.9"/>
    <n v="49.2"/>
    <n v="10518724.57"/>
  </r>
  <r>
    <x v="3"/>
    <s v="Pulmonology"/>
    <x v="0"/>
    <n v="24"/>
    <n v="224.65"/>
    <n v="13.9"/>
    <n v="26"/>
    <n v="24"/>
    <n v="224.65"/>
  </r>
  <r>
    <x v="3"/>
    <s v="Oncology"/>
    <x v="0"/>
    <n v="32"/>
    <n v="5690.57"/>
    <n v="14.2"/>
    <n v="25.5"/>
    <n v="28"/>
    <n v="5915.22"/>
  </r>
  <r>
    <x v="3"/>
    <s v="Behavioral_Health"/>
    <x v="0"/>
    <n v="25"/>
    <n v="792.31"/>
    <n v="16.8"/>
    <n v="26.1"/>
    <n v="33.1"/>
    <n v="6707.53"/>
  </r>
  <r>
    <x v="3"/>
    <s v="Neurology"/>
    <x v="0"/>
    <n v="22"/>
    <n v="901.69"/>
    <n v="14.2"/>
    <n v="22"/>
    <n v="35.700000000000003"/>
    <n v="7609.22"/>
  </r>
  <r>
    <x v="3"/>
    <s v="Radiology"/>
    <x v="0"/>
    <n v="32"/>
    <n v="2822.41"/>
    <n v="15.2"/>
    <n v="26.1"/>
    <n v="22.6"/>
    <n v="10431.629999999999"/>
  </r>
  <r>
    <x v="3"/>
    <s v="Gastroenterology"/>
    <x v="0"/>
    <n v="30"/>
    <n v="6136.51"/>
    <n v="13.3"/>
    <n v="23.4"/>
    <n v="33.6"/>
    <n v="16568.14"/>
  </r>
  <r>
    <x v="3"/>
    <s v="Obstetrics_Gynecology"/>
    <x v="0"/>
    <n v="21"/>
    <n v="3838.62"/>
    <n v="15"/>
    <n v="30.2"/>
    <n v="39.5"/>
    <n v="20406.759999999998"/>
  </r>
  <r>
    <x v="3"/>
    <s v="Emergency_Medicine"/>
    <x v="0"/>
    <n v="63"/>
    <n v="4136.26"/>
    <n v="16.7"/>
    <n v="31.6"/>
    <n v="29.7"/>
    <n v="24543.02"/>
  </r>
  <r>
    <x v="3"/>
    <s v="Internal_Medicine"/>
    <x v="0"/>
    <n v="43"/>
    <n v="941.73"/>
    <n v="14.5"/>
    <n v="23.1"/>
    <n v="34.799999999999997"/>
    <n v="25484.75"/>
  </r>
  <r>
    <x v="3"/>
    <s v="Cardiology"/>
    <x v="0"/>
    <n v="39"/>
    <n v="13421.49"/>
    <n v="13.8"/>
    <n v="29.5"/>
    <n v="41.5"/>
    <n v="38906.239999999998"/>
  </r>
  <r>
    <x v="3"/>
    <s v="Orthopedic_Surgery"/>
    <x v="0"/>
    <n v="37"/>
    <n v="8567.41"/>
    <n v="15"/>
    <n v="28.5"/>
    <n v="29.1"/>
    <n v="47473.65"/>
  </r>
  <r>
    <x v="3"/>
    <s v="Primary_Care"/>
    <x v="0"/>
    <n v="22"/>
    <n v="347.43"/>
    <n v="14.8"/>
    <n v="23.2"/>
    <n v="32.5"/>
    <n v="47821.08"/>
  </r>
  <r>
    <x v="3"/>
    <s v="Physical_Therapy"/>
    <x v="0"/>
    <n v="21"/>
    <n v="295.22000000000003"/>
    <n v="12.5"/>
    <n v="35.9"/>
    <n v="29.8"/>
    <n v="48116.3"/>
  </r>
  <r>
    <x v="3"/>
    <s v="Internal_Medicine"/>
    <x v="1"/>
    <n v="54"/>
    <n v="711.39"/>
    <n v="47.1"/>
    <n v="22.7"/>
    <n v="22.5"/>
    <n v="48827.69"/>
  </r>
  <r>
    <x v="3"/>
    <s v="Obstetrics_Gynecology"/>
    <x v="1"/>
    <n v="20"/>
    <n v="9645.14"/>
    <n v="42.8"/>
    <n v="31.5"/>
    <n v="32"/>
    <n v="58472.83"/>
  </r>
  <r>
    <x v="3"/>
    <s v="Neurology"/>
    <x v="1"/>
    <n v="35"/>
    <n v="2750.9"/>
    <n v="48.5"/>
    <n v="20.100000000000001"/>
    <n v="20.6"/>
    <n v="61223.73"/>
  </r>
  <r>
    <x v="3"/>
    <s v="Behavioral_Health"/>
    <x v="1"/>
    <n v="43"/>
    <n v="575.32000000000005"/>
    <n v="43.4"/>
    <n v="26.9"/>
    <n v="22.8"/>
    <n v="61799.05"/>
  </r>
  <r>
    <x v="3"/>
    <s v="Emergency_Medicine"/>
    <x v="1"/>
    <n v="67"/>
    <n v="6573.55"/>
    <n v="46.5"/>
    <n v="27.7"/>
    <n v="29"/>
    <n v="68372.600000000006"/>
  </r>
  <r>
    <x v="3"/>
    <s v="Pulmonology"/>
    <x v="1"/>
    <n v="20"/>
    <n v="2116.61"/>
    <n v="45.1"/>
    <n v="31"/>
    <n v="35.4"/>
    <n v="70489.210000000006"/>
  </r>
  <r>
    <x v="3"/>
    <s v="Physical_Therapy"/>
    <x v="1"/>
    <n v="13"/>
    <n v="100.01"/>
    <n v="45.9"/>
    <n v="34.9"/>
    <n v="20.5"/>
    <n v="70589.22"/>
  </r>
  <r>
    <x v="3"/>
    <s v="Oncology"/>
    <x v="1"/>
    <n v="33"/>
    <n v="5256.43"/>
    <n v="45.2"/>
    <n v="24.6"/>
    <n v="25.9"/>
    <n v="75845.649999999994"/>
  </r>
  <r>
    <x v="3"/>
    <s v="Cardiology"/>
    <x v="1"/>
    <n v="45"/>
    <n v="4465.55"/>
    <n v="45.9"/>
    <n v="26.5"/>
    <n v="27.8"/>
    <n v="80311.199999999997"/>
  </r>
  <r>
    <x v="3"/>
    <s v="Gastroenterology"/>
    <x v="1"/>
    <n v="28"/>
    <n v="6250.71"/>
    <n v="48.2"/>
    <n v="21.3"/>
    <n v="33.5"/>
    <n v="86561.91"/>
  </r>
  <r>
    <x v="3"/>
    <s v="Primary_Care"/>
    <x v="1"/>
    <n v="27"/>
    <n v="230.24"/>
    <n v="43.1"/>
    <n v="22.8"/>
    <n v="19.399999999999999"/>
    <n v="86792.15"/>
  </r>
  <r>
    <x v="3"/>
    <s v="Orthopedic_Surgery"/>
    <x v="1"/>
    <n v="34"/>
    <n v="26713.58"/>
    <n v="44.9"/>
    <n v="28.9"/>
    <n v="44.2"/>
    <n v="113505.73"/>
  </r>
  <r>
    <x v="3"/>
    <s v="Radiology"/>
    <x v="1"/>
    <n v="31"/>
    <n v="4695.7700000000004"/>
    <n v="47.5"/>
    <n v="23.3"/>
    <n v="45.8"/>
    <n v="118201.5"/>
  </r>
  <r>
    <x v="3"/>
    <s v="Neurology"/>
    <x v="2"/>
    <n v="27"/>
    <n v="1569.4"/>
    <n v="74.7"/>
    <n v="21"/>
    <n v="33"/>
    <n v="153421.67000000001"/>
  </r>
  <r>
    <x v="3"/>
    <s v="Orthopedic_Surgery"/>
    <x v="2"/>
    <n v="30"/>
    <n v="23003.53"/>
    <n v="76.099999999999994"/>
    <n v="28.6"/>
    <n v="36.6"/>
    <n v="141457.74"/>
  </r>
  <r>
    <x v="3"/>
    <s v="Radiology"/>
    <x v="2"/>
    <n v="29"/>
    <n v="1692.85"/>
    <n v="76"/>
    <n v="22.2"/>
    <n v="26.8"/>
    <n v="143150.59"/>
  </r>
  <r>
    <x v="3"/>
    <s v="Gastroenterology"/>
    <x v="2"/>
    <n v="23"/>
    <n v="6645.72"/>
    <n v="76.099999999999994"/>
    <n v="22.9"/>
    <n v="53.2"/>
    <n v="149796.31"/>
  </r>
  <r>
    <x v="3"/>
    <s v="Behavioral_Health"/>
    <x v="2"/>
    <n v="29"/>
    <n v="842.49"/>
    <n v="76.8"/>
    <n v="27.4"/>
    <n v="41.6"/>
    <n v="150638.79999999999"/>
  </r>
  <r>
    <x v="3"/>
    <s v="Internal_Medicine"/>
    <x v="2"/>
    <n v="54"/>
    <n v="1213.47"/>
    <n v="76.599999999999994"/>
    <n v="20.6"/>
    <n v="28"/>
    <n v="151852.26999999999"/>
  </r>
  <r>
    <x v="3"/>
    <s v="Physical_Therapy"/>
    <x v="2"/>
    <n v="25"/>
    <n v="252.71"/>
    <n v="76.099999999999994"/>
    <n v="33.200000000000003"/>
    <n v="52"/>
    <n v="118454.21"/>
  </r>
  <r>
    <x v="3"/>
    <s v="Cardiology"/>
    <x v="2"/>
    <n v="31"/>
    <n v="11666.86"/>
    <n v="72.900000000000006"/>
    <n v="28.3"/>
    <n v="40.299999999999997"/>
    <n v="165088.53"/>
  </r>
  <r>
    <x v="3"/>
    <s v="Pulmonology"/>
    <x v="2"/>
    <n v="19"/>
    <n v="1906.96"/>
    <n v="73.599999999999994"/>
    <n v="27.4"/>
    <n v="23.4"/>
    <n v="166995.49"/>
  </r>
  <r>
    <x v="3"/>
    <s v="Oncology"/>
    <x v="2"/>
    <n v="32"/>
    <n v="4860.6099999999997"/>
    <n v="73.8"/>
    <n v="23.2"/>
    <n v="37.4"/>
    <n v="171856.1"/>
  </r>
  <r>
    <x v="3"/>
    <s v="Obstetrics_Gynecology"/>
    <x v="2"/>
    <n v="23"/>
    <n v="6738.17"/>
    <n v="75.400000000000006"/>
    <n v="30.3"/>
    <n v="32.299999999999997"/>
    <n v="178594.27"/>
  </r>
  <r>
    <x v="3"/>
    <s v="Primary_Care"/>
    <x v="2"/>
    <n v="21"/>
    <n v="218.68"/>
    <n v="75.8"/>
    <n v="23.9"/>
    <n v="23.8"/>
    <n v="178812.95"/>
  </r>
  <r>
    <x v="3"/>
    <s v="Emergency_Medicine"/>
    <x v="2"/>
    <n v="59"/>
    <n v="4795.41"/>
    <n v="73.599999999999994"/>
    <n v="29.6"/>
    <n v="33"/>
    <n v="183608.36"/>
  </r>
  <r>
    <x v="3"/>
    <s v="Internal_Medicine"/>
    <x v="3"/>
    <n v="53"/>
    <n v="555.46"/>
    <n v="103.5"/>
    <n v="22.9"/>
    <n v="32.4"/>
    <n v="224719.35999999999"/>
  </r>
  <r>
    <x v="3"/>
    <s v="Radiology"/>
    <x v="3"/>
    <n v="40"/>
    <n v="5874.84"/>
    <n v="105.1"/>
    <n v="23"/>
    <n v="48"/>
    <n v="211956.74"/>
  </r>
  <r>
    <x v="3"/>
    <s v="Emergency_Medicine"/>
    <x v="3"/>
    <n v="53"/>
    <n v="3511.42"/>
    <n v="103.5"/>
    <n v="31.8"/>
    <n v="36.299999999999997"/>
    <n v="215468.16"/>
  </r>
  <r>
    <x v="3"/>
    <s v="Oncology"/>
    <x v="3"/>
    <n v="30"/>
    <n v="4124.3500000000004"/>
    <n v="106.5"/>
    <n v="24.4"/>
    <n v="28.5"/>
    <n v="219592.51"/>
  </r>
  <r>
    <x v="3"/>
    <s v="Neurology"/>
    <x v="3"/>
    <n v="22"/>
    <n v="568.73"/>
    <n v="105.3"/>
    <n v="20.3"/>
    <n v="42"/>
    <n v="220161.24"/>
  </r>
  <r>
    <x v="3"/>
    <s v="Pulmonology"/>
    <x v="3"/>
    <n v="19"/>
    <n v="3782.74"/>
    <n v="110.5"/>
    <n v="24.5"/>
    <n v="44"/>
    <n v="223943.98"/>
  </r>
  <r>
    <x v="3"/>
    <s v="Physical_Therapy"/>
    <x v="3"/>
    <n v="19"/>
    <n v="219.92"/>
    <n v="106.9"/>
    <n v="30.9"/>
    <n v="29.6"/>
    <n v="224163.9"/>
  </r>
  <r>
    <x v="3"/>
    <s v="Cardiology"/>
    <x v="3"/>
    <n v="52"/>
    <n v="22473.54"/>
    <n v="106.7"/>
    <n v="29.2"/>
    <n v="37.4"/>
    <n v="206081.9"/>
  </r>
  <r>
    <x v="3"/>
    <s v="Gastroenterology"/>
    <x v="3"/>
    <n v="34"/>
    <n v="5945.77"/>
    <n v="105.9"/>
    <n v="22"/>
    <n v="30.2"/>
    <n v="230665.13"/>
  </r>
  <r>
    <x v="3"/>
    <s v="Primary_Care"/>
    <x v="3"/>
    <n v="22"/>
    <n v="739.6"/>
    <n v="106.5"/>
    <n v="24.8"/>
    <n v="34.6"/>
    <n v="231404.73"/>
  </r>
  <r>
    <x v="3"/>
    <s v="Behavioral_Health"/>
    <x v="3"/>
    <n v="37"/>
    <n v="715.88"/>
    <n v="105.2"/>
    <n v="26"/>
    <n v="39.799999999999997"/>
    <n v="232120.61"/>
  </r>
  <r>
    <x v="3"/>
    <s v="Orthopedic_Surgery"/>
    <x v="3"/>
    <n v="42"/>
    <n v="20862.36"/>
    <n v="107.3"/>
    <n v="26.2"/>
    <n v="33.799999999999997"/>
    <n v="252982.97"/>
  </r>
  <r>
    <x v="3"/>
    <s v="Obstetrics_Gynecology"/>
    <x v="3"/>
    <n v="33"/>
    <n v="7307.53"/>
    <n v="108.2"/>
    <n v="28.4"/>
    <n v="30.4"/>
    <n v="260290.5"/>
  </r>
  <r>
    <x v="3"/>
    <s v="Radiology"/>
    <x v="4"/>
    <n v="1135"/>
    <n v="146055.73000000001"/>
    <n v="718.8"/>
    <n v="23.5"/>
    <n v="33.9"/>
    <n v="406346.23"/>
  </r>
  <r>
    <x v="3"/>
    <s v="Orthopedic_Surgery"/>
    <x v="4"/>
    <n v="1432"/>
    <n v="897007.23"/>
    <n v="692.8"/>
    <n v="27.5"/>
    <n v="34.1"/>
    <n v="1303353.46"/>
  </r>
  <r>
    <x v="3"/>
    <s v="Physical_Therapy"/>
    <x v="4"/>
    <n v="805"/>
    <n v="7517.23"/>
    <n v="714.8"/>
    <n v="33.6"/>
    <n v="30.4"/>
    <n v="1310870.69"/>
  </r>
  <r>
    <x v="3"/>
    <s v="Neurology"/>
    <x v="4"/>
    <n v="972"/>
    <n v="73887.399999999994"/>
    <n v="679.6"/>
    <n v="21.4"/>
    <n v="30.3"/>
    <n v="1384758.09"/>
  </r>
  <r>
    <x v="3"/>
    <s v="Internal_Medicine"/>
    <x v="4"/>
    <n v="1965"/>
    <n v="38184.550000000003"/>
    <n v="697.2"/>
    <n v="21.9"/>
    <n v="32.299999999999997"/>
    <n v="1422942.64"/>
  </r>
  <r>
    <x v="3"/>
    <s v="Behavioral_Health"/>
    <x v="4"/>
    <n v="1246"/>
    <n v="21216.89"/>
    <n v="697.1"/>
    <n v="26.5"/>
    <n v="30.7"/>
    <n v="1444159.53"/>
  </r>
  <r>
    <x v="3"/>
    <s v="Primary_Care"/>
    <x v="4"/>
    <n v="1022"/>
    <n v="19527.740000000002"/>
    <n v="698.1"/>
    <n v="24"/>
    <n v="33.200000000000003"/>
    <n v="1463687.27"/>
  </r>
  <r>
    <x v="3"/>
    <s v="Oncology"/>
    <x v="4"/>
    <n v="1108"/>
    <n v="205467.39"/>
    <n v="676.1"/>
    <n v="24.1"/>
    <n v="33.200000000000003"/>
    <n v="1669154.66"/>
  </r>
  <r>
    <x v="3"/>
    <s v="Gastroenterology"/>
    <x v="4"/>
    <n v="1032"/>
    <n v="191049.17"/>
    <n v="704.8"/>
    <n v="23.5"/>
    <n v="32.200000000000003"/>
    <n v="1860203.83"/>
  </r>
  <r>
    <x v="3"/>
    <s v="Pulmonology"/>
    <x v="4"/>
    <n v="852"/>
    <n v="82255.990000000005"/>
    <n v="701.5"/>
    <n v="25.6"/>
    <n v="35.4"/>
    <n v="1942459.82"/>
  </r>
  <r>
    <x v="3"/>
    <s v="Emergency_Medicine"/>
    <x v="4"/>
    <n v="2266"/>
    <n v="217131.78"/>
    <n v="696.7"/>
    <n v="30.7"/>
    <n v="31.4"/>
    <n v="2159591.6"/>
  </r>
  <r>
    <x v="3"/>
    <s v="Obstetrics_Gynecology"/>
    <x v="4"/>
    <n v="797"/>
    <n v="283821.73"/>
    <n v="695.8"/>
    <n v="30.4"/>
    <n v="32.799999999999997"/>
    <n v="2443413.33"/>
  </r>
  <r>
    <x v="3"/>
    <s v="Cardiology"/>
    <x v="4"/>
    <n v="1645"/>
    <n v="475073.63"/>
    <n v="689.6"/>
    <n v="28.8"/>
    <n v="32.6"/>
    <n v="2918486.96"/>
  </r>
  <r>
    <x v="4"/>
    <s v="Cardiology"/>
    <x v="0"/>
    <n v="48"/>
    <n v="25428.959999999999"/>
    <n v="17.600000000000001"/>
    <n v="29.6"/>
    <n v="47.1"/>
    <n v="25428.959999999999"/>
  </r>
  <r>
    <x v="4"/>
    <s v="Gastroenterology"/>
    <x v="0"/>
    <n v="28"/>
    <n v="5891.05"/>
    <n v="16.899999999999999"/>
    <n v="41.2"/>
    <n v="37.299999999999997"/>
    <n v="31320.01"/>
  </r>
  <r>
    <x v="4"/>
    <s v="Neurology"/>
    <x v="0"/>
    <n v="22"/>
    <n v="4504.92"/>
    <n v="16.399999999999999"/>
    <n v="31.7"/>
    <n v="34.1"/>
    <n v="35824.93"/>
  </r>
  <r>
    <x v="4"/>
    <s v="Radiology"/>
    <x v="0"/>
    <n v="44"/>
    <n v="6173.89"/>
    <n v="13.2"/>
    <n v="34.200000000000003"/>
    <n v="54.1"/>
    <n v="41998.82"/>
  </r>
  <r>
    <x v="4"/>
    <s v="Emergency_Medicine"/>
    <x v="0"/>
    <n v="82"/>
    <n v="9382.23"/>
    <n v="14.6"/>
    <n v="35.200000000000003"/>
    <n v="46.5"/>
    <n v="51381.05"/>
  </r>
  <r>
    <x v="4"/>
    <s v="Orthopedic_Surgery"/>
    <x v="0"/>
    <n v="45"/>
    <n v="75494.820000000007"/>
    <n v="16.600000000000001"/>
    <n v="19.3"/>
    <n v="40.4"/>
    <n v="126875.87"/>
  </r>
  <r>
    <x v="4"/>
    <s v="Physical_Therapy"/>
    <x v="0"/>
    <n v="29"/>
    <n v="777.75"/>
    <n v="15.3"/>
    <n v="25.3"/>
    <n v="43.3"/>
    <n v="127653.62"/>
  </r>
  <r>
    <x v="4"/>
    <s v="Pulmonology"/>
    <x v="0"/>
    <n v="26"/>
    <n v="5700.14"/>
    <n v="17.2"/>
    <n v="34.5"/>
    <n v="46"/>
    <n v="133353.76"/>
  </r>
  <r>
    <x v="4"/>
    <s v="Oncology"/>
    <x v="0"/>
    <n v="32"/>
    <n v="8033.96"/>
    <n v="15.4"/>
    <n v="23.6"/>
    <n v="28.8"/>
    <n v="141387.72"/>
  </r>
  <r>
    <x v="4"/>
    <s v="Behavioral_Health"/>
    <x v="0"/>
    <n v="50"/>
    <n v="1095.17"/>
    <n v="13"/>
    <n v="29.1"/>
    <n v="48"/>
    <n v="142482.89000000001"/>
  </r>
  <r>
    <x v="4"/>
    <s v="Obstetrics_Gynecology"/>
    <x v="0"/>
    <n v="21"/>
    <n v="12009.17"/>
    <n v="13.5"/>
    <n v="34.799999999999997"/>
    <n v="41"/>
    <n v="154492.06"/>
  </r>
  <r>
    <x v="4"/>
    <s v="Internal_Medicine"/>
    <x v="0"/>
    <n v="62"/>
    <n v="1401.43"/>
    <n v="13.6"/>
    <n v="32"/>
    <n v="44.2"/>
    <n v="155893.49"/>
  </r>
  <r>
    <x v="4"/>
    <s v="Primary_Care"/>
    <x v="0"/>
    <n v="27"/>
    <n v="934.96"/>
    <n v="15.2"/>
    <n v="33.299999999999997"/>
    <n v="34.1"/>
    <n v="156828.45000000001"/>
  </r>
  <r>
    <x v="4"/>
    <s v="Gastroenterology"/>
    <x v="1"/>
    <n v="31"/>
    <n v="6106.35"/>
    <n v="45"/>
    <n v="40.6"/>
    <n v="26.3"/>
    <n v="162934.79999999999"/>
  </r>
  <r>
    <x v="4"/>
    <s v="Pulmonology"/>
    <x v="1"/>
    <n v="26"/>
    <n v="4362.1899999999996"/>
    <n v="47.7"/>
    <n v="35.1"/>
    <n v="41.9"/>
    <n v="167296.99"/>
  </r>
  <r>
    <x v="4"/>
    <s v="Orthopedic_Surgery"/>
    <x v="1"/>
    <n v="30"/>
    <n v="15210.74"/>
    <n v="46.4"/>
    <n v="19"/>
    <n v="48.7"/>
    <n v="182507.73"/>
  </r>
  <r>
    <x v="4"/>
    <s v="Primary_Care"/>
    <x v="1"/>
    <n v="36"/>
    <n v="1402.76"/>
    <n v="44.4"/>
    <n v="32"/>
    <n v="41.7"/>
    <n v="183910.49"/>
  </r>
  <r>
    <x v="4"/>
    <s v="Oncology"/>
    <x v="1"/>
    <n v="44"/>
    <n v="9871.34"/>
    <n v="48"/>
    <n v="24.4"/>
    <n v="36.9"/>
    <n v="193781.83"/>
  </r>
  <r>
    <x v="4"/>
    <s v="Internal_Medicine"/>
    <x v="1"/>
    <n v="60"/>
    <n v="1857.43"/>
    <n v="44.1"/>
    <n v="32.200000000000003"/>
    <n v="43.6"/>
    <n v="195639.26"/>
  </r>
  <r>
    <x v="4"/>
    <s v="Obstetrics_Gynecology"/>
    <x v="1"/>
    <n v="28"/>
    <n v="30316.84"/>
    <n v="45.7"/>
    <n v="38.4"/>
    <n v="52.7"/>
    <n v="225956.1"/>
  </r>
  <r>
    <x v="4"/>
    <s v="Cardiology"/>
    <x v="1"/>
    <n v="41"/>
    <n v="30105.07"/>
    <n v="44.2"/>
    <n v="31"/>
    <n v="49.6"/>
    <n v="256061.17"/>
  </r>
  <r>
    <x v="4"/>
    <s v="Emergency_Medicine"/>
    <x v="1"/>
    <n v="80"/>
    <n v="7791.23"/>
    <n v="46.9"/>
    <n v="36.4"/>
    <n v="42.6"/>
    <n v="263852.40000000002"/>
  </r>
  <r>
    <x v="4"/>
    <s v="Physical_Therapy"/>
    <x v="1"/>
    <n v="21"/>
    <n v="302.12"/>
    <n v="42.9"/>
    <n v="23.3"/>
    <n v="35.799999999999997"/>
    <n v="264154.52"/>
  </r>
  <r>
    <x v="4"/>
    <s v="Behavioral_Health"/>
    <x v="1"/>
    <n v="48"/>
    <n v="1761.77"/>
    <n v="46.5"/>
    <n v="26.8"/>
    <n v="46.3"/>
    <n v="265916.28999999998"/>
  </r>
  <r>
    <x v="4"/>
    <s v="Radiology"/>
    <x v="1"/>
    <n v="31"/>
    <n v="3179.2"/>
    <n v="48.9"/>
    <n v="34.6"/>
    <n v="33.200000000000003"/>
    <n v="269095.49"/>
  </r>
  <r>
    <x v="4"/>
    <s v="Neurology"/>
    <x v="1"/>
    <n v="29"/>
    <n v="2862.67"/>
    <n v="43.1"/>
    <n v="31.9"/>
    <n v="37.9"/>
    <n v="271958.15999999997"/>
  </r>
  <r>
    <x v="4"/>
    <s v="Cardiology"/>
    <x v="2"/>
    <n v="52"/>
    <n v="11279.75"/>
    <n v="75.5"/>
    <n v="33.299999999999997"/>
    <n v="35.200000000000003"/>
    <n v="318689.44"/>
  </r>
  <r>
    <x v="4"/>
    <s v="Internal_Medicine"/>
    <x v="2"/>
    <n v="60"/>
    <n v="1275.47"/>
    <n v="74.7"/>
    <n v="29.8"/>
    <n v="39.4"/>
    <n v="282271.09000000003"/>
  </r>
  <r>
    <x v="4"/>
    <s v="Radiology"/>
    <x v="2"/>
    <n v="29"/>
    <n v="2031.3"/>
    <n v="78.400000000000006"/>
    <n v="34.799999999999997"/>
    <n v="37.700000000000003"/>
    <n v="284302.39"/>
  </r>
  <r>
    <x v="4"/>
    <s v="Neurology"/>
    <x v="2"/>
    <n v="27"/>
    <n v="973.08"/>
    <n v="75.599999999999994"/>
    <n v="34"/>
    <n v="33.799999999999997"/>
    <n v="285275.46999999997"/>
  </r>
  <r>
    <x v="4"/>
    <s v="Oncology"/>
    <x v="2"/>
    <n v="39"/>
    <n v="16541.419999999998"/>
    <n v="75.5"/>
    <n v="23.6"/>
    <n v="39.9"/>
    <n v="301816.89"/>
  </r>
  <r>
    <x v="4"/>
    <s v="Pulmonology"/>
    <x v="2"/>
    <n v="21"/>
    <n v="5592.8"/>
    <n v="74.2"/>
    <n v="34.700000000000003"/>
    <n v="51.2"/>
    <n v="307409.69"/>
  </r>
  <r>
    <x v="4"/>
    <s v="Obstetrics_Gynecology"/>
    <x v="2"/>
    <n v="29"/>
    <n v="9037.4599999999991"/>
    <n v="74"/>
    <n v="35.4"/>
    <n v="33.700000000000003"/>
    <n v="280995.62"/>
  </r>
  <r>
    <x v="4"/>
    <s v="Physical_Therapy"/>
    <x v="2"/>
    <n v="32"/>
    <n v="460.41"/>
    <n v="79.2"/>
    <n v="27.1"/>
    <n v="40.200000000000003"/>
    <n v="319149.84999999998"/>
  </r>
  <r>
    <x v="4"/>
    <s v="Behavioral_Health"/>
    <x v="2"/>
    <n v="48"/>
    <n v="1419.39"/>
    <n v="75.5"/>
    <n v="27.7"/>
    <n v="43.9"/>
    <n v="320569.24"/>
  </r>
  <r>
    <x v="4"/>
    <s v="Emergency_Medicine"/>
    <x v="2"/>
    <n v="81"/>
    <n v="9667.6"/>
    <n v="75.400000000000006"/>
    <n v="37.799999999999997"/>
    <n v="39.200000000000003"/>
    <n v="330236.84000000003"/>
  </r>
  <r>
    <x v="4"/>
    <s v="Gastroenterology"/>
    <x v="2"/>
    <n v="33"/>
    <n v="2864.06"/>
    <n v="74.2"/>
    <n v="37.4"/>
    <n v="30.3"/>
    <n v="333100.90000000002"/>
  </r>
  <r>
    <x v="4"/>
    <s v="Primary_Care"/>
    <x v="2"/>
    <n v="35"/>
    <n v="1128.25"/>
    <n v="73.8"/>
    <n v="33.5"/>
    <n v="49.6"/>
    <n v="334229.15000000002"/>
  </r>
  <r>
    <x v="4"/>
    <s v="Orthopedic_Surgery"/>
    <x v="2"/>
    <n v="44"/>
    <n v="23944.03"/>
    <n v="76"/>
    <n v="18.899999999999999"/>
    <n v="40.299999999999997"/>
    <n v="358173.18"/>
  </r>
  <r>
    <x v="4"/>
    <s v="Obstetrics_Gynecology"/>
    <x v="3"/>
    <n v="24"/>
    <n v="9595.14"/>
    <n v="102.9"/>
    <n v="37.5"/>
    <n v="31.2"/>
    <n v="455779.04"/>
  </r>
  <r>
    <x v="4"/>
    <s v="Pulmonology"/>
    <x v="3"/>
    <n v="22"/>
    <n v="999.12"/>
    <n v="105.3"/>
    <n v="33.6"/>
    <n v="44.1"/>
    <n v="360882.83"/>
  </r>
  <r>
    <x v="4"/>
    <s v="Emergency_Medicine"/>
    <x v="3"/>
    <n v="71"/>
    <n v="7898.48"/>
    <n v="105.5"/>
    <n v="36.1"/>
    <n v="42.7"/>
    <n v="368781.31"/>
  </r>
  <r>
    <x v="4"/>
    <s v="Orthopedic_Surgery"/>
    <x v="3"/>
    <n v="39"/>
    <n v="51689.58"/>
    <n v="106.8"/>
    <n v="18.5"/>
    <n v="46.8"/>
    <n v="420470.89"/>
  </r>
  <r>
    <x v="4"/>
    <s v="Oncology"/>
    <x v="3"/>
    <n v="43"/>
    <n v="12123.28"/>
    <n v="105.2"/>
    <n v="24.1"/>
    <n v="47.6"/>
    <n v="432594.17"/>
  </r>
  <r>
    <x v="4"/>
    <s v="Neurology"/>
    <x v="3"/>
    <n v="37"/>
    <n v="3478.2"/>
    <n v="104.3"/>
    <n v="34"/>
    <n v="44.1"/>
    <n v="436072.37"/>
  </r>
  <r>
    <x v="4"/>
    <s v="Cardiology"/>
    <x v="3"/>
    <n v="59"/>
    <n v="10111.530000000001"/>
    <n v="105.3"/>
    <n v="30.4"/>
    <n v="35.799999999999997"/>
    <n v="446183.9"/>
  </r>
  <r>
    <x v="4"/>
    <s v="Internal_Medicine"/>
    <x v="3"/>
    <n v="68"/>
    <n v="1710.53"/>
    <n v="105.9"/>
    <n v="31.9"/>
    <n v="40.299999999999997"/>
    <n v="359883.71"/>
  </r>
  <r>
    <x v="4"/>
    <s v="Physical_Therapy"/>
    <x v="3"/>
    <n v="28"/>
    <n v="747.43"/>
    <n v="106.1"/>
    <n v="26"/>
    <n v="57"/>
    <n v="456526.47"/>
  </r>
  <r>
    <x v="4"/>
    <s v="Behavioral_Health"/>
    <x v="3"/>
    <n v="52"/>
    <n v="1498.36"/>
    <n v="103.6"/>
    <n v="29.4"/>
    <n v="40.200000000000003"/>
    <n v="458024.83"/>
  </r>
  <r>
    <x v="4"/>
    <s v="Radiology"/>
    <x v="3"/>
    <n v="30"/>
    <n v="5348.22"/>
    <n v="105.1"/>
    <n v="36.4"/>
    <n v="33.799999999999997"/>
    <n v="463373.05"/>
  </r>
  <r>
    <x v="4"/>
    <s v="Primary_Care"/>
    <x v="3"/>
    <n v="24"/>
    <n v="326.79000000000002"/>
    <n v="106.5"/>
    <n v="35.6"/>
    <n v="46.7"/>
    <n v="463699.84"/>
  </r>
  <r>
    <x v="4"/>
    <s v="Gastroenterology"/>
    <x v="3"/>
    <n v="30"/>
    <n v="7546.58"/>
    <n v="105.2"/>
    <n v="38.5"/>
    <n v="32.4"/>
    <n v="471246.42"/>
  </r>
  <r>
    <x v="4"/>
    <s v="Internal_Medicine"/>
    <x v="4"/>
    <n v="2383"/>
    <n v="78627.490000000005"/>
    <n v="696.7"/>
    <n v="31.3"/>
    <n v="41.5"/>
    <n v="549873.91"/>
  </r>
  <r>
    <x v="4"/>
    <s v="Physical_Therapy"/>
    <x v="4"/>
    <n v="1011"/>
    <n v="16887.580000000002"/>
    <n v="720.4"/>
    <n v="27.2"/>
    <n v="40.1"/>
    <n v="566761.49"/>
  </r>
  <r>
    <x v="4"/>
    <s v="Obstetrics_Gynecology"/>
    <x v="4"/>
    <n v="951"/>
    <n v="481775.11"/>
    <n v="700.6"/>
    <n v="36.200000000000003"/>
    <n v="42.2"/>
    <n v="1048536.6"/>
  </r>
  <r>
    <x v="4"/>
    <s v="Primary_Care"/>
    <x v="4"/>
    <n v="1196"/>
    <n v="32770.870000000003"/>
    <n v="692.5"/>
    <n v="33.1"/>
    <n v="40.299999999999997"/>
    <n v="1081307.47"/>
  </r>
  <r>
    <x v="4"/>
    <s v="Pulmonology"/>
    <x v="4"/>
    <n v="1007"/>
    <n v="136003.53"/>
    <n v="701.7"/>
    <n v="34.1"/>
    <n v="42.1"/>
    <n v="1217311"/>
  </r>
  <r>
    <x v="4"/>
    <s v="Emergency_Medicine"/>
    <x v="4"/>
    <n v="2790"/>
    <n v="409340.8"/>
    <n v="701.7"/>
    <n v="36.200000000000003"/>
    <n v="41.5"/>
    <n v="1626651.8"/>
  </r>
  <r>
    <x v="4"/>
    <s v="Neurology"/>
    <x v="4"/>
    <n v="1170"/>
    <n v="158981.44"/>
    <n v="707"/>
    <n v="32.1"/>
    <n v="40.5"/>
    <n v="1785633.24"/>
  </r>
  <r>
    <x v="4"/>
    <s v="Gastroenterology"/>
    <x v="4"/>
    <n v="1235"/>
    <n v="378537.15"/>
    <n v="698.2"/>
    <n v="40.700000000000003"/>
    <n v="41.1"/>
    <n v="2164170.39"/>
  </r>
  <r>
    <x v="4"/>
    <s v="Cardiology"/>
    <x v="4"/>
    <n v="1977"/>
    <n v="786264.42"/>
    <n v="702.4"/>
    <n v="31.5"/>
    <n v="40.9"/>
    <n v="2950434.81"/>
  </r>
  <r>
    <x v="4"/>
    <s v="Oncology"/>
    <x v="4"/>
    <n v="1378"/>
    <n v="430751.87"/>
    <n v="717.3"/>
    <n v="23.8"/>
    <n v="41.9"/>
    <n v="3381186.68"/>
  </r>
  <r>
    <x v="4"/>
    <s v="Behavioral_Health"/>
    <x v="4"/>
    <n v="1544"/>
    <n v="42116.58"/>
    <n v="693.1"/>
    <n v="27.2"/>
    <n v="41.6"/>
    <n v="3423303.26"/>
  </r>
  <r>
    <x v="4"/>
    <s v="Radiology"/>
    <x v="4"/>
    <n v="1326"/>
    <n v="297968.07"/>
    <n v="713.3"/>
    <n v="35.299999999999997"/>
    <n v="40.5"/>
    <n v="3721271.33"/>
  </r>
  <r>
    <x v="4"/>
    <s v="Orthopedic_Surgery"/>
    <x v="4"/>
    <n v="1712"/>
    <n v="1464801.93"/>
    <n v="685.6"/>
    <n v="19.100000000000001"/>
    <n v="39.299999999999997"/>
    <n v="5186073.26"/>
  </r>
  <r>
    <x v="5"/>
    <s v="Physical_Therapy"/>
    <x v="0"/>
    <n v="42"/>
    <n v="804.27"/>
    <n v="16.3"/>
    <n v="27.1"/>
    <n v="40.9"/>
    <n v="804.27"/>
  </r>
  <r>
    <x v="5"/>
    <s v="Radiology"/>
    <x v="0"/>
    <n v="54"/>
    <n v="4634.4399999999996"/>
    <n v="15.1"/>
    <n v="24.1"/>
    <n v="31.3"/>
    <n v="5438.71"/>
  </r>
  <r>
    <x v="5"/>
    <s v="Gastroenterology"/>
    <x v="0"/>
    <n v="60"/>
    <n v="24500.11"/>
    <n v="15.5"/>
    <n v="35.9"/>
    <n v="38.799999999999997"/>
    <n v="29938.82"/>
  </r>
  <r>
    <x v="5"/>
    <s v="Behavioral_Health"/>
    <x v="0"/>
    <n v="43"/>
    <n v="1251.07"/>
    <n v="13.5"/>
    <n v="28"/>
    <n v="46"/>
    <n v="31189.89"/>
  </r>
  <r>
    <x v="5"/>
    <s v="Cardiology"/>
    <x v="0"/>
    <n v="73"/>
    <n v="31240.13"/>
    <n v="13.6"/>
    <n v="29"/>
    <n v="40.700000000000003"/>
    <n v="62430.02"/>
  </r>
  <r>
    <x v="5"/>
    <s v="Neurology"/>
    <x v="0"/>
    <n v="39"/>
    <n v="5805.01"/>
    <n v="14.4"/>
    <n v="35.799999999999997"/>
    <n v="44.9"/>
    <n v="68235.03"/>
  </r>
  <r>
    <x v="5"/>
    <s v="Emergency_Medicine"/>
    <x v="0"/>
    <n v="75"/>
    <n v="8794.2800000000007"/>
    <n v="13.1"/>
    <n v="26.5"/>
    <n v="43.1"/>
    <n v="77029.31"/>
  </r>
  <r>
    <x v="5"/>
    <s v="Internal_Medicine"/>
    <x v="0"/>
    <n v="85"/>
    <n v="2105.5100000000002"/>
    <n v="15.1"/>
    <n v="27"/>
    <n v="37.4"/>
    <n v="79134.820000000007"/>
  </r>
  <r>
    <x v="5"/>
    <s v="Orthopedic_Surgery"/>
    <x v="0"/>
    <n v="65"/>
    <n v="69966.8"/>
    <n v="14.1"/>
    <n v="32"/>
    <n v="44.5"/>
    <n v="149101.62"/>
  </r>
  <r>
    <x v="5"/>
    <s v="Oncology"/>
    <x v="0"/>
    <n v="39"/>
    <n v="5561.78"/>
    <n v="15.3"/>
    <n v="34"/>
    <n v="33.5"/>
    <n v="154663.4"/>
  </r>
  <r>
    <x v="5"/>
    <s v="Pulmonology"/>
    <x v="0"/>
    <n v="30"/>
    <n v="5446.88"/>
    <n v="14.7"/>
    <n v="32.9"/>
    <n v="28.7"/>
    <n v="160110.28"/>
  </r>
  <r>
    <x v="5"/>
    <s v="Obstetrics_Gynecology"/>
    <x v="0"/>
    <n v="36"/>
    <n v="15940.32"/>
    <n v="13.1"/>
    <n v="33.6"/>
    <n v="41.5"/>
    <n v="176050.6"/>
  </r>
  <r>
    <x v="5"/>
    <s v="Primary_Care"/>
    <x v="0"/>
    <n v="43"/>
    <n v="758.34"/>
    <n v="14.9"/>
    <n v="31.5"/>
    <n v="46.7"/>
    <n v="176808.94"/>
  </r>
  <r>
    <x v="5"/>
    <s v="Gastroenterology"/>
    <x v="1"/>
    <n v="53"/>
    <n v="17802.7"/>
    <n v="45.3"/>
    <n v="37"/>
    <n v="40.1"/>
    <n v="194611.64"/>
  </r>
  <r>
    <x v="5"/>
    <s v="Primary_Care"/>
    <x v="1"/>
    <n v="50"/>
    <n v="1096.3399999999999"/>
    <n v="47.1"/>
    <n v="29.3"/>
    <n v="34.1"/>
    <n v="195707.98"/>
  </r>
  <r>
    <x v="5"/>
    <s v="Neurology"/>
    <x v="1"/>
    <n v="32"/>
    <n v="4625.71"/>
    <n v="44.3"/>
    <n v="35.5"/>
    <n v="41.4"/>
    <n v="200333.69"/>
  </r>
  <r>
    <x v="5"/>
    <s v="Internal_Medicine"/>
    <x v="1"/>
    <n v="80"/>
    <n v="1963.18"/>
    <n v="48.4"/>
    <n v="28.6"/>
    <n v="39.1"/>
    <n v="202296.87"/>
  </r>
  <r>
    <x v="5"/>
    <s v="Emergency_Medicine"/>
    <x v="1"/>
    <n v="91"/>
    <n v="9637.0400000000009"/>
    <n v="45.6"/>
    <n v="26.9"/>
    <n v="44.2"/>
    <n v="211933.91"/>
  </r>
  <r>
    <x v="5"/>
    <s v="Cardiology"/>
    <x v="1"/>
    <n v="63"/>
    <n v="21228.58"/>
    <n v="44.6"/>
    <n v="32.5"/>
    <n v="36.9"/>
    <n v="233162.49"/>
  </r>
  <r>
    <x v="5"/>
    <s v="Oncology"/>
    <x v="1"/>
    <n v="44"/>
    <n v="5995.38"/>
    <n v="45.8"/>
    <n v="33.5"/>
    <n v="43.3"/>
    <n v="239157.87"/>
  </r>
  <r>
    <x v="5"/>
    <s v="Behavioral_Health"/>
    <x v="1"/>
    <n v="40"/>
    <n v="1144.03"/>
    <n v="45.8"/>
    <n v="28.5"/>
    <n v="44.9"/>
    <n v="240301.9"/>
  </r>
  <r>
    <x v="5"/>
    <s v="Radiology"/>
    <x v="1"/>
    <n v="52"/>
    <n v="14005.6"/>
    <n v="45.7"/>
    <n v="25.1"/>
    <n v="45"/>
    <n v="254307.5"/>
  </r>
  <r>
    <x v="5"/>
    <s v="Orthopedic_Surgery"/>
    <x v="1"/>
    <n v="45"/>
    <n v="32602.68"/>
    <n v="45.2"/>
    <n v="32.9"/>
    <n v="26.8"/>
    <n v="286910.18"/>
  </r>
  <r>
    <x v="5"/>
    <s v="Pulmonology"/>
    <x v="1"/>
    <n v="19"/>
    <n v="1966.86"/>
    <n v="47"/>
    <n v="37"/>
    <n v="32.4"/>
    <n v="288877.03999999998"/>
  </r>
  <r>
    <x v="5"/>
    <s v="Obstetrics_Gynecology"/>
    <x v="1"/>
    <n v="28"/>
    <n v="6627.48"/>
    <n v="47.2"/>
    <n v="34.200000000000003"/>
    <n v="39.9"/>
    <n v="295504.52"/>
  </r>
  <r>
    <x v="5"/>
    <s v="Physical_Therapy"/>
    <x v="1"/>
    <n v="33"/>
    <n v="532.91"/>
    <n v="44.3"/>
    <n v="26.8"/>
    <n v="38.9"/>
    <n v="296037.43"/>
  </r>
  <r>
    <x v="5"/>
    <s v="Emergency_Medicine"/>
    <x v="2"/>
    <n v="78"/>
    <n v="7870.76"/>
    <n v="72.8"/>
    <n v="27.4"/>
    <n v="38.799999999999997"/>
    <n v="386901.94"/>
  </r>
  <r>
    <x v="5"/>
    <s v="Cardiology"/>
    <x v="2"/>
    <n v="69"/>
    <n v="17784.669999999998"/>
    <n v="74.599999999999994"/>
    <n v="30.5"/>
    <n v="34.6"/>
    <n v="353047.53"/>
  </r>
  <r>
    <x v="5"/>
    <s v="Gastroenterology"/>
    <x v="2"/>
    <n v="37"/>
    <n v="9200.08"/>
    <n v="76.2"/>
    <n v="36.700000000000003"/>
    <n v="27.1"/>
    <n v="362247.61"/>
  </r>
  <r>
    <x v="5"/>
    <s v="Radiology"/>
    <x v="2"/>
    <n v="36"/>
    <n v="4717.76"/>
    <n v="77.3"/>
    <n v="20.100000000000001"/>
    <n v="52.6"/>
    <n v="366965.37"/>
  </r>
  <r>
    <x v="5"/>
    <s v="Neurology"/>
    <x v="2"/>
    <n v="27"/>
    <n v="3423.3"/>
    <n v="74.7"/>
    <n v="34.700000000000003"/>
    <n v="32.1"/>
    <n v="370388.67"/>
  </r>
  <r>
    <x v="5"/>
    <s v="Oncology"/>
    <x v="2"/>
    <n v="52"/>
    <n v="8642.51"/>
    <n v="77.900000000000006"/>
    <n v="36.200000000000003"/>
    <n v="36.799999999999997"/>
    <n v="379031.18"/>
  </r>
  <r>
    <x v="5"/>
    <s v="Obstetrics_Gynecology"/>
    <x v="2"/>
    <n v="29"/>
    <n v="39225.43"/>
    <n v="75.3"/>
    <n v="33.299999999999997"/>
    <n v="55.3"/>
    <n v="335262.86"/>
  </r>
  <r>
    <x v="5"/>
    <s v="Primary_Care"/>
    <x v="2"/>
    <n v="31"/>
    <n v="739.5"/>
    <n v="74.8"/>
    <n v="31.7"/>
    <n v="39.4"/>
    <n v="387641.44"/>
  </r>
  <r>
    <x v="5"/>
    <s v="Orthopedic_Surgery"/>
    <x v="2"/>
    <n v="71"/>
    <n v="30196.97"/>
    <n v="75.8"/>
    <n v="33.4"/>
    <n v="32.5"/>
    <n v="417838.41"/>
  </r>
  <r>
    <x v="5"/>
    <s v="Internal_Medicine"/>
    <x v="2"/>
    <n v="69"/>
    <n v="1710.7"/>
    <n v="73.900000000000006"/>
    <n v="28.4"/>
    <n v="43.7"/>
    <n v="419549.11"/>
  </r>
  <r>
    <x v="5"/>
    <s v="Pulmonology"/>
    <x v="2"/>
    <n v="32"/>
    <n v="8911.85"/>
    <n v="75.8"/>
    <n v="33.5"/>
    <n v="42.9"/>
    <n v="428460.96"/>
  </r>
  <r>
    <x v="5"/>
    <s v="Behavioral_Health"/>
    <x v="2"/>
    <n v="49"/>
    <n v="1345.22"/>
    <n v="77.2"/>
    <n v="30.6"/>
    <n v="50.5"/>
    <n v="429806.18"/>
  </r>
  <r>
    <x v="5"/>
    <s v="Physical_Therapy"/>
    <x v="2"/>
    <n v="32"/>
    <n v="441.39"/>
    <n v="75.3"/>
    <n v="26.4"/>
    <n v="33.5"/>
    <n v="430247.57"/>
  </r>
  <r>
    <x v="5"/>
    <s v="Obstetrics_Gynecology"/>
    <x v="3"/>
    <n v="26"/>
    <n v="14565.1"/>
    <n v="105.8"/>
    <n v="35.200000000000003"/>
    <n v="47.9"/>
    <n v="483105.78"/>
  </r>
  <r>
    <x v="5"/>
    <s v="Emergency_Medicine"/>
    <x v="3"/>
    <n v="94"/>
    <n v="8041.63"/>
    <n v="106.1"/>
    <n v="28.2"/>
    <n v="32.9"/>
    <n v="449739.59"/>
  </r>
  <r>
    <x v="5"/>
    <s v="Internal_Medicine"/>
    <x v="3"/>
    <n v="66"/>
    <n v="1699.99"/>
    <n v="105.3"/>
    <n v="28"/>
    <n v="37.200000000000003"/>
    <n v="451439.58"/>
  </r>
  <r>
    <x v="5"/>
    <s v="Neurology"/>
    <x v="3"/>
    <n v="41"/>
    <n v="5029.07"/>
    <n v="106.1"/>
    <n v="34.299999999999997"/>
    <n v="44"/>
    <n v="456468.65"/>
  </r>
  <r>
    <x v="5"/>
    <s v="Primary_Care"/>
    <x v="3"/>
    <n v="34"/>
    <n v="888.15"/>
    <n v="104.3"/>
    <n v="29"/>
    <n v="48"/>
    <n v="457356.79999999999"/>
  </r>
  <r>
    <x v="5"/>
    <s v="Radiology"/>
    <x v="3"/>
    <n v="54"/>
    <n v="9789.89"/>
    <n v="105.6"/>
    <n v="24.9"/>
    <n v="44.2"/>
    <n v="467146.69"/>
  </r>
  <r>
    <x v="5"/>
    <s v="Behavioral_Health"/>
    <x v="3"/>
    <n v="44"/>
    <n v="1393.99"/>
    <n v="105"/>
    <n v="29.9"/>
    <n v="39.6"/>
    <n v="468540.68"/>
  </r>
  <r>
    <x v="5"/>
    <s v="Oncology"/>
    <x v="3"/>
    <n v="35"/>
    <n v="11450.39"/>
    <n v="104.9"/>
    <n v="32.1"/>
    <n v="43.9"/>
    <n v="441697.96"/>
  </r>
  <r>
    <x v="5"/>
    <s v="Cardiology"/>
    <x v="3"/>
    <n v="62"/>
    <n v="15871.66"/>
    <n v="107.6"/>
    <n v="31.9"/>
    <n v="45.1"/>
    <n v="498977.44"/>
  </r>
  <r>
    <x v="5"/>
    <s v="Physical_Therapy"/>
    <x v="3"/>
    <n v="31"/>
    <n v="299.16000000000003"/>
    <n v="108.4"/>
    <n v="27.3"/>
    <n v="36.200000000000003"/>
    <n v="499276.6"/>
  </r>
  <r>
    <x v="5"/>
    <s v="Gastroenterology"/>
    <x v="3"/>
    <n v="42"/>
    <n v="8169.47"/>
    <n v="106.4"/>
    <n v="35.700000000000003"/>
    <n v="40.799999999999997"/>
    <n v="507446.07"/>
  </r>
  <r>
    <x v="5"/>
    <s v="Pulmonology"/>
    <x v="3"/>
    <n v="36"/>
    <n v="2233.6799999999998"/>
    <n v="105.4"/>
    <n v="38.200000000000003"/>
    <n v="37.5"/>
    <n v="509679.75"/>
  </r>
  <r>
    <x v="5"/>
    <s v="Orthopedic_Surgery"/>
    <x v="3"/>
    <n v="47"/>
    <n v="30761.23"/>
    <n v="104.3"/>
    <n v="32.299999999999997"/>
    <n v="36.6"/>
    <n v="540440.98"/>
  </r>
  <r>
    <x v="5"/>
    <s v="Gastroenterology"/>
    <x v="4"/>
    <n v="1479"/>
    <n v="451874.47"/>
    <n v="719.7"/>
    <n v="36.5"/>
    <n v="42.1"/>
    <n v="992315.45"/>
  </r>
  <r>
    <x v="5"/>
    <s v="Physical_Therapy"/>
    <x v="4"/>
    <n v="1161"/>
    <n v="19213.45"/>
    <n v="714.1"/>
    <n v="27.4"/>
    <n v="42.5"/>
    <n v="1011528.9"/>
  </r>
  <r>
    <x v="5"/>
    <s v="Obstetrics_Gynecology"/>
    <x v="4"/>
    <n v="1168"/>
    <n v="613028.81000000006"/>
    <n v="701.5"/>
    <n v="33"/>
    <n v="41.1"/>
    <n v="1624557.71"/>
  </r>
  <r>
    <x v="5"/>
    <s v="Behavioral_Health"/>
    <x v="4"/>
    <n v="1870"/>
    <n v="51943.43"/>
    <n v="695.3"/>
    <n v="30.6"/>
    <n v="42.9"/>
    <n v="1676501.14"/>
  </r>
  <r>
    <x v="5"/>
    <s v="Primary_Care"/>
    <x v="4"/>
    <n v="1474"/>
    <n v="39807.81"/>
    <n v="681.2"/>
    <n v="31.5"/>
    <n v="40.299999999999997"/>
    <n v="1716308.95"/>
  </r>
  <r>
    <x v="5"/>
    <s v="Orthopedic_Surgery"/>
    <x v="4"/>
    <n v="2076"/>
    <n v="1784583.49"/>
    <n v="693.5"/>
    <n v="32.4"/>
    <n v="42"/>
    <n v="3500892.44"/>
  </r>
  <r>
    <x v="5"/>
    <s v="Internal_Medicine"/>
    <x v="4"/>
    <n v="2795"/>
    <n v="79927.67"/>
    <n v="703"/>
    <n v="27.1"/>
    <n v="42.3"/>
    <n v="3580820.11"/>
  </r>
  <r>
    <x v="5"/>
    <s v="Emergency_Medicine"/>
    <x v="4"/>
    <n v="3381"/>
    <n v="466016.05"/>
    <n v="700.9"/>
    <n v="27.7"/>
    <n v="40.799999999999997"/>
    <n v="4046836.16"/>
  </r>
  <r>
    <x v="5"/>
    <s v="Pulmonology"/>
    <x v="4"/>
    <n v="1226"/>
    <n v="150785.42000000001"/>
    <n v="706.8"/>
    <n v="34.9"/>
    <n v="40.700000000000003"/>
    <n v="4197621.58"/>
  </r>
  <r>
    <x v="5"/>
    <s v="Cardiology"/>
    <x v="4"/>
    <n v="2349"/>
    <n v="1020155.87"/>
    <n v="697.4"/>
    <n v="32.1"/>
    <n v="41.2"/>
    <n v="5217777.45"/>
  </r>
  <r>
    <x v="5"/>
    <s v="Oncology"/>
    <x v="4"/>
    <n v="1665"/>
    <n v="433790.36"/>
    <n v="706.8"/>
    <n v="33.799999999999997"/>
    <n v="40.700000000000003"/>
    <n v="5651567.8099999996"/>
  </r>
  <r>
    <x v="5"/>
    <s v="Neurology"/>
    <x v="4"/>
    <n v="1398"/>
    <n v="177545.33"/>
    <n v="720.2"/>
    <n v="34.799999999999997"/>
    <n v="40.299999999999997"/>
    <n v="5829113.1399999997"/>
  </r>
  <r>
    <x v="5"/>
    <s v="Radiology"/>
    <x v="4"/>
    <n v="1720"/>
    <n v="341229.89"/>
    <n v="681.1"/>
    <n v="23.9"/>
    <n v="40.5"/>
    <n v="6170343.03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C7745D-4E0F-C646-AF04-E6316EA564B7}"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8" firstHeaderRow="0" firstDataRow="1" firstDataCol="1"/>
  <pivotFields count="5">
    <pivotField axis="axisRow" showAll="0" sortType="ascending">
      <items count="7">
        <item x="5"/>
        <item x="3"/>
        <item x="0"/>
        <item x="4"/>
        <item x="2"/>
        <item x="1"/>
        <item t="default"/>
      </items>
      <autoSortScope>
        <pivotArea dataOnly="0" outline="0" fieldPosition="0">
          <references count="1">
            <reference field="4294967294" count="1" selected="0">
              <x v="2"/>
            </reference>
          </references>
        </pivotArea>
      </autoSortScope>
    </pivotField>
    <pivotField dataField="1" showAll="0"/>
    <pivotField dataField="1" showAll="0"/>
    <pivotField showAll="0"/>
    <pivotField dataField="1" showAll="0"/>
  </pivotFields>
  <rowFields count="1">
    <field x="0"/>
  </rowFields>
  <rowItems count="7">
    <i>
      <x/>
    </i>
    <i>
      <x v="3"/>
    </i>
    <i>
      <x v="1"/>
    </i>
    <i>
      <x v="4"/>
    </i>
    <i>
      <x v="5"/>
    </i>
    <i>
      <x v="2"/>
    </i>
    <i t="grand">
      <x/>
    </i>
  </rowItems>
  <colFields count="1">
    <field x="-2"/>
  </colFields>
  <colItems count="3">
    <i>
      <x/>
    </i>
    <i i="1">
      <x v="1"/>
    </i>
    <i i="2">
      <x v="2"/>
    </i>
  </colItems>
  <dataFields count="3">
    <dataField name="Sum of total_claims" fld="1" baseField="0" baseItem="0"/>
    <dataField name="Sum of total_denied_claims" fld="2" baseField="0" baseItem="0"/>
    <dataField name="Sum of total_estimated_recovery_usd" fld="4" baseField="0" baseItem="0"/>
  </dataFields>
  <formats count="2">
    <format dxfId="41">
      <pivotArea collapsedLevelsAreSubtotals="1" fieldPosition="0">
        <references count="2">
          <reference field="4294967294" count="1" selected="0">
            <x v="2"/>
          </reference>
          <reference field="0" count="0"/>
        </references>
      </pivotArea>
    </format>
    <format dxfId="40">
      <pivotArea field="0" grandRow="1" outline="0" collapsedLevelsAreSubtotals="1" axis="axisRow"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591D97-E568-4C4A-94F9-85ADC2B7D1A2}"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B18" firstHeaderRow="1" firstDataRow="1" firstDataCol="1"/>
  <pivotFields count="5">
    <pivotField axis="axisRow" showAll="0" sortType="ascending">
      <items count="7">
        <item x="5"/>
        <item x="3"/>
        <item x="0"/>
        <item x="4"/>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0"/>
  </rowFields>
  <rowItems count="7">
    <i>
      <x/>
    </i>
    <i>
      <x v="3"/>
    </i>
    <i>
      <x v="1"/>
    </i>
    <i>
      <x v="4"/>
    </i>
    <i>
      <x v="5"/>
    </i>
    <i>
      <x v="2"/>
    </i>
    <i t="grand">
      <x/>
    </i>
  </rowItems>
  <colItems count="1">
    <i/>
  </colItems>
  <dataFields count="1">
    <dataField name="Recoverable_Revenue" fld="4" baseField="0" baseItem="0"/>
  </dataFields>
  <formats count="1">
    <format dxfId="42">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79C053-CD5D-0146-A33C-CFF876369DDC}"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_of_recovery_action">
  <location ref="A28:D34" firstHeaderRow="0" firstDataRow="1" firstDataCol="1"/>
  <pivotFields count="7">
    <pivotField showAll="0">
      <items count="8">
        <item x="2"/>
        <item x="4"/>
        <item x="0"/>
        <item x="5"/>
        <item x="3"/>
        <item x="1"/>
        <item x="6"/>
        <item t="default"/>
      </items>
    </pivotField>
    <pivotField showAll="0"/>
    <pivotField dataField="1" showAll="0"/>
    <pivotField showAll="0">
      <items count="3">
        <item x="1"/>
        <item x="0"/>
        <item t="default"/>
      </items>
    </pivotField>
    <pivotField dataField="1" showAll="0"/>
    <pivotField dataField="1" showAll="0"/>
    <pivotField axis="axisRow" showAll="0">
      <items count="6">
        <item x="1"/>
        <item x="2"/>
        <item x="0"/>
        <item x="3"/>
        <item x="4"/>
        <item t="default"/>
      </items>
    </pivotField>
  </pivotFields>
  <rowFields count="1">
    <field x="6"/>
  </rowFields>
  <rowItems count="6">
    <i>
      <x/>
    </i>
    <i>
      <x v="1"/>
    </i>
    <i>
      <x v="2"/>
    </i>
    <i>
      <x v="3"/>
    </i>
    <i>
      <x v="4"/>
    </i>
    <i t="grand">
      <x/>
    </i>
  </rowItems>
  <colFields count="1">
    <field x="-2"/>
  </colFields>
  <colItems count="3">
    <i>
      <x/>
    </i>
    <i i="1">
      <x v="1"/>
    </i>
    <i i="2">
      <x v="2"/>
    </i>
  </colItems>
  <dataFields count="3">
    <dataField name="Sum of total_recoverable_usd" fld="5" baseField="0" baseItem="0"/>
    <dataField name="Sum of total_denials" fld="2" baseField="0" baseItem="0"/>
    <dataField name="Average of avg_appeal_success_pct" fld="4" subtotal="average" baseField="0" baseItem="0"/>
  </dataFields>
  <formats count="1">
    <format dxfId="1">
      <pivotArea collapsedLevelsAreSubtotals="1" fieldPosition="0">
        <references count="2">
          <reference field="4294967294" count="1" selected="0">
            <x v="0"/>
          </reference>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12E230-2AE2-204E-B111-97DB2E68516B}"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_of_recovery_action">
  <location ref="A12:B18" firstHeaderRow="1" firstDataRow="1" firstDataCol="1"/>
  <pivotFields count="7">
    <pivotField showAll="0">
      <items count="8">
        <item x="2"/>
        <item x="4"/>
        <item x="0"/>
        <item x="5"/>
        <item x="3"/>
        <item x="1"/>
        <item x="6"/>
        <item t="default"/>
      </items>
    </pivotField>
    <pivotField showAll="0"/>
    <pivotField showAll="0"/>
    <pivotField showAll="0"/>
    <pivotField showAll="0"/>
    <pivotField dataField="1" showAll="0"/>
    <pivotField axis="axisRow" showAll="0" sortType="ascending">
      <items count="6">
        <item x="1"/>
        <item x="2"/>
        <item x="0"/>
        <item x="3"/>
        <item x="4"/>
        <item t="default"/>
      </items>
      <autoSortScope>
        <pivotArea dataOnly="0" outline="0" fieldPosition="0">
          <references count="1">
            <reference field="4294967294" count="1" selected="0">
              <x v="0"/>
            </reference>
          </references>
        </pivotArea>
      </autoSortScope>
    </pivotField>
  </pivotFields>
  <rowFields count="1">
    <field x="6"/>
  </rowFields>
  <rowItems count="6">
    <i>
      <x v="4"/>
    </i>
    <i>
      <x v="3"/>
    </i>
    <i>
      <x v="1"/>
    </i>
    <i>
      <x/>
    </i>
    <i>
      <x v="2"/>
    </i>
    <i t="grand">
      <x/>
    </i>
  </rowItems>
  <colItems count="1">
    <i/>
  </colItems>
  <dataFields count="1">
    <dataField name="Sum of total_recoverable_usd" fld="5" baseField="0" baseItem="0" numFmtId="164"/>
  </dataField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60E9C8-FDF9-7847-9229-CB6E1F5E50E0}" name="PivotTable4" cacheId="4"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5" rowHeaderCaption="category_of_denials">
  <location ref="A1:B9" firstHeaderRow="1" firstDataRow="1" firstDataCol="1"/>
  <pivotFields count="7">
    <pivotField axis="axisRow" showAll="0" sortType="ascending">
      <items count="8">
        <item x="2"/>
        <item x="4"/>
        <item x="0"/>
        <item x="5"/>
        <item x="3"/>
        <item x="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0"/>
  </rowFields>
  <rowItems count="8">
    <i>
      <x v="3"/>
    </i>
    <i>
      <x v="6"/>
    </i>
    <i>
      <x v="1"/>
    </i>
    <i>
      <x v="4"/>
    </i>
    <i>
      <x/>
    </i>
    <i>
      <x v="5"/>
    </i>
    <i>
      <x v="2"/>
    </i>
    <i t="grand">
      <x/>
    </i>
  </rowItems>
  <colItems count="1">
    <i/>
  </colItems>
  <dataFields count="1">
    <dataField name="recoverable_usd" fld="5" baseField="0" baseItem="0" numFmtId="164"/>
  </dataField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3D991B-AF29-7C40-8F1D-8C7687BAECAA}"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_of_recovery_action">
  <location ref="A21:C24" firstHeaderRow="0" firstDataRow="1" firstDataCol="1"/>
  <pivotFields count="7">
    <pivotField showAll="0">
      <items count="8">
        <item x="2"/>
        <item x="4"/>
        <item x="0"/>
        <item x="5"/>
        <item x="3"/>
        <item x="1"/>
        <item x="6"/>
        <item t="default"/>
      </items>
    </pivotField>
    <pivotField showAll="0"/>
    <pivotField showAll="0"/>
    <pivotField axis="axisRow" showAll="0">
      <items count="3">
        <item x="1"/>
        <item x="0"/>
        <item t="default"/>
      </items>
    </pivotField>
    <pivotField dataField="1" showAll="0"/>
    <pivotField dataField="1" showAll="0"/>
    <pivotField showAll="0">
      <items count="6">
        <item x="1"/>
        <item x="2"/>
        <item x="0"/>
        <item x="3"/>
        <item x="4"/>
        <item t="default"/>
      </items>
    </pivotField>
  </pivotFields>
  <rowFields count="1">
    <field x="3"/>
  </rowFields>
  <rowItems count="3">
    <i>
      <x/>
    </i>
    <i>
      <x v="1"/>
    </i>
    <i t="grand">
      <x/>
    </i>
  </rowItems>
  <colFields count="1">
    <field x="-2"/>
  </colFields>
  <colItems count="2">
    <i>
      <x/>
    </i>
    <i i="1">
      <x v="1"/>
    </i>
  </colItems>
  <dataFields count="2">
    <dataField name="Average of avg_appeal_success_pct" fld="4" subtotal="average" baseField="0" baseItem="0"/>
    <dataField name="Sum of total_recoverable_usd" fld="5" baseField="0" baseItem="0"/>
  </dataFields>
  <formats count="1">
    <format dxfId="30">
      <pivotArea collapsedLevelsAreSubtotals="1" fieldPosition="0">
        <references count="1">
          <reference field="3"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6F5756-2181-1142-A013-65BAE229B662}" name="PivotTable1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vider-Specialty">
  <location ref="A31:C39" firstHeaderRow="0" firstDataRow="1" firstDataCol="1"/>
  <pivotFields count="6">
    <pivotField axis="axisRow" showAll="0">
      <items count="8">
        <item x="1"/>
        <item x="5"/>
        <item x="4"/>
        <item x="2"/>
        <item x="3"/>
        <item x="0"/>
        <item x="6"/>
        <item t="default"/>
      </items>
    </pivotField>
    <pivotField dataField="1" showAll="0">
      <items count="16">
        <item x="0"/>
        <item x="3"/>
        <item x="4"/>
        <item x="13"/>
        <item x="12"/>
        <item x="8"/>
        <item x="6"/>
        <item x="2"/>
        <item x="7"/>
        <item x="5"/>
        <item x="10"/>
        <item x="1"/>
        <item x="9"/>
        <item x="11"/>
        <item x="14"/>
        <item t="default"/>
      </items>
    </pivotField>
    <pivotField showAll="0"/>
    <pivotField showAll="0"/>
    <pivotField showAll="0"/>
    <pivotField dataField="1" showAll="0"/>
  </pivotFields>
  <rowFields count="1">
    <field x="0"/>
  </rowFields>
  <rowItems count="8">
    <i>
      <x/>
    </i>
    <i>
      <x v="1"/>
    </i>
    <i>
      <x v="2"/>
    </i>
    <i>
      <x v="3"/>
    </i>
    <i>
      <x v="4"/>
    </i>
    <i>
      <x v="5"/>
    </i>
    <i>
      <x v="6"/>
    </i>
    <i t="grand">
      <x/>
    </i>
  </rowItems>
  <colFields count="1">
    <field x="-2"/>
  </colFields>
  <colItems count="2">
    <i>
      <x/>
    </i>
    <i i="1">
      <x v="1"/>
    </i>
  </colItems>
  <dataFields count="2">
    <dataField name="Sum of cpt_code" fld="1" baseField="0" baseItem="0"/>
    <dataField name="Sum of total_at_risk_dollars" fld="5" baseField="0" baseItem="0"/>
  </dataFields>
  <formats count="3">
    <format dxfId="17">
      <pivotArea collapsedLevelsAreSubtotals="1" fieldPosition="0">
        <references count="1">
          <reference field="0" count="0"/>
        </references>
      </pivotArea>
    </format>
    <format dxfId="16">
      <pivotArea grandRow="1" outline="0" collapsedLevelsAreSubtotals="1" fieldPosition="0"/>
    </format>
    <format dxfId="15">
      <pivotArea dataOnly="0"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5EBBA0-55B5-BA48-8074-350FDC1C1053}"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pt-Code">
  <location ref="A12:D28" firstHeaderRow="0" firstDataRow="1" firstDataCol="1"/>
  <pivotFields count="6">
    <pivotField showAll="0">
      <items count="8">
        <item x="1"/>
        <item x="5"/>
        <item x="4"/>
        <item x="2"/>
        <item x="3"/>
        <item x="0"/>
        <item x="6"/>
        <item t="default"/>
      </items>
    </pivotField>
    <pivotField axis="axisRow" showAll="0">
      <items count="16">
        <item x="0"/>
        <item x="3"/>
        <item x="4"/>
        <item x="13"/>
        <item x="12"/>
        <item x="8"/>
        <item x="6"/>
        <item x="2"/>
        <item x="7"/>
        <item x="5"/>
        <item x="10"/>
        <item x="1"/>
        <item x="9"/>
        <item x="11"/>
        <item x="14"/>
        <item t="default"/>
      </items>
    </pivotField>
    <pivotField dataField="1" showAll="0"/>
    <pivotField dataField="1" showAll="0"/>
    <pivotField showAll="0"/>
    <pivotField dataField="1" showAll="0"/>
  </pivotFields>
  <rowFields count="1">
    <field x="1"/>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Sum of total_claims" fld="2" baseField="0" baseItem="0"/>
    <dataField name="Sum of denied_claims" fld="3" baseField="0" baseItem="0"/>
    <dataField name="Sum of total_at_risk_dollars" fld="5" baseField="0" baseItem="0"/>
  </dataFields>
  <formats count="2">
    <format dxfId="19">
      <pivotArea collapsedLevelsAreSubtotals="1" fieldPosition="0">
        <references count="2">
          <reference field="4294967294" count="1" selected="0">
            <x v="2"/>
          </reference>
          <reference field="1" count="0"/>
        </references>
      </pivotArea>
    </format>
    <format dxfId="18">
      <pivotArea field="1" grandRow="1" outline="0" collapsedLevelsAreSubtotals="1" axis="axisRow"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B7D2C9-36FF-9C48-8C1A-4A1047297E3A}"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vider-Specialty">
  <location ref="A1:B9" firstHeaderRow="1" firstDataRow="1" firstDataCol="1"/>
  <pivotFields count="6">
    <pivotField axis="axisRow" showAll="0" sortType="descending">
      <items count="8">
        <item x="1"/>
        <item x="5"/>
        <item x="4"/>
        <item x="2"/>
        <item x="3"/>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0"/>
  </rowFields>
  <rowItems count="8">
    <i>
      <x v="5"/>
    </i>
    <i>
      <x/>
    </i>
    <i>
      <x v="3"/>
    </i>
    <i>
      <x v="4"/>
    </i>
    <i>
      <x v="2"/>
    </i>
    <i>
      <x v="1"/>
    </i>
    <i>
      <x v="6"/>
    </i>
    <i t="grand">
      <x/>
    </i>
  </rowItems>
  <colItems count="1">
    <i/>
  </colItems>
  <dataFields count="1">
    <dataField name="Sum of total_at_risk_dollars" fld="5" baseField="0" baseItem="0"/>
  </dataFields>
  <formats count="2">
    <format dxfId="21">
      <pivotArea collapsedLevelsAreSubtotals="1" fieldPosition="0">
        <references count="2">
          <reference field="4294967294" count="1" selected="0">
            <x v="0"/>
          </reference>
          <reference field="0" count="0"/>
        </references>
      </pivotArea>
    </format>
    <format dxfId="20">
      <pivotArea field="0" grandRow="1" outline="0" collapsedLevelsAreSubtotals="1" axis="axisRow" fieldPosition="0">
        <references count="1">
          <reference field="4294967294" count="1" selected="0">
            <x v="0"/>
          </reference>
        </references>
      </pivotArea>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E3E52C-2B75-8C41-8707-36DB9F670D43}"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H8" firstHeaderRow="1" firstDataRow="2" firstDataCol="1"/>
  <pivotFields count="9">
    <pivotField axis="axisCol" showAll="0">
      <items count="7">
        <item x="0"/>
        <item x="1"/>
        <item x="2"/>
        <item x="3"/>
        <item x="4"/>
        <item x="5"/>
        <item t="default"/>
      </items>
    </pivotField>
    <pivotField showAll="0"/>
    <pivotField axis="axisRow" showAll="0">
      <items count="6">
        <item x="0"/>
        <item x="1"/>
        <item x="2"/>
        <item x="3"/>
        <item x="4"/>
        <item t="default"/>
      </items>
    </pivotField>
    <pivotField showAll="0"/>
    <pivotField dataField="1" showAll="0"/>
    <pivotField showAll="0"/>
    <pivotField showAll="0"/>
    <pivotField showAll="0"/>
    <pivotField showAll="0"/>
  </pivotFields>
  <rowFields count="1">
    <field x="2"/>
  </rowFields>
  <rowItems count="6">
    <i>
      <x/>
    </i>
    <i>
      <x v="1"/>
    </i>
    <i>
      <x v="2"/>
    </i>
    <i>
      <x v="3"/>
    </i>
    <i>
      <x v="4"/>
    </i>
    <i t="grand">
      <x/>
    </i>
  </rowItems>
  <colFields count="1">
    <field x="0"/>
  </colFields>
  <colItems count="7">
    <i>
      <x/>
    </i>
    <i>
      <x v="1"/>
    </i>
    <i>
      <x v="2"/>
    </i>
    <i>
      <x v="3"/>
    </i>
    <i>
      <x v="4"/>
    </i>
    <i>
      <x v="5"/>
    </i>
    <i t="grand">
      <x/>
    </i>
  </colItems>
  <dataFields count="1">
    <dataField name="at_risk_recovery_usd" fld="4" baseField="0" baseItem="0"/>
  </dataFields>
  <formats count="1">
    <format dxfId="2">
      <pivotArea collapsedLevelsAreSubtotals="1" fieldPosition="0">
        <references count="2">
          <reference field="4294967294" count="1" selected="0">
            <x v="0"/>
          </reference>
          <reference field="2" count="0"/>
        </references>
      </pivotArea>
    </format>
  </formats>
  <chartFormats count="13">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9" format="12" series="1">
      <pivotArea type="data" outline="0" fieldPosition="0">
        <references count="2">
          <reference field="4294967294" count="1" selected="0">
            <x v="0"/>
          </reference>
          <reference field="0" count="1" selected="0">
            <x v="0"/>
          </reference>
        </references>
      </pivotArea>
    </chartFormat>
    <chartFormat chart="9" format="13" series="1">
      <pivotArea type="data" outline="0" fieldPosition="0">
        <references count="2">
          <reference field="4294967294" count="1" selected="0">
            <x v="0"/>
          </reference>
          <reference field="0" count="1" selected="0">
            <x v="1"/>
          </reference>
        </references>
      </pivotArea>
    </chartFormat>
    <chartFormat chart="9" format="14" series="1">
      <pivotArea type="data" outline="0" fieldPosition="0">
        <references count="2">
          <reference field="4294967294" count="1" selected="0">
            <x v="0"/>
          </reference>
          <reference field="0" count="1" selected="0">
            <x v="2"/>
          </reference>
        </references>
      </pivotArea>
    </chartFormat>
    <chartFormat chart="9" format="15" series="1">
      <pivotArea type="data" outline="0" fieldPosition="0">
        <references count="2">
          <reference field="4294967294" count="1" selected="0">
            <x v="0"/>
          </reference>
          <reference field="0" count="1" selected="0">
            <x v="3"/>
          </reference>
        </references>
      </pivotArea>
    </chartFormat>
    <chartFormat chart="9" format="16" series="1">
      <pivotArea type="data" outline="0" fieldPosition="0">
        <references count="2">
          <reference field="4294967294" count="1" selected="0">
            <x v="0"/>
          </reference>
          <reference field="0" count="1" selected="0">
            <x v="4"/>
          </reference>
        </references>
      </pivotArea>
    </chartFormat>
    <chartFormat chart="9" format="17"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0"/>
          </reference>
        </references>
      </pivotArea>
    </chartFormat>
    <chartFormat chart="0" format="7"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5FE0919-30C7-2D4B-9B60-B9C464A37091}" name="PivotTable1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C17" firstHeaderRow="0" firstDataRow="1" firstDataCol="1"/>
  <pivotFields count="9">
    <pivotField axis="axisRow" showAll="0" sortType="a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showAll="0">
      <items count="6">
        <item x="0"/>
        <item x="1"/>
        <item x="2"/>
        <item x="3"/>
        <item x="4"/>
        <item t="default"/>
      </items>
    </pivotField>
    <pivotField showAll="0"/>
    <pivotField showAll="0"/>
    <pivotField dataField="1" showAll="0"/>
    <pivotField dataField="1" showAll="0"/>
    <pivotField showAll="0"/>
    <pivotField showAll="0"/>
  </pivotFields>
  <rowFields count="1">
    <field x="0"/>
  </rowFields>
  <rowItems count="7">
    <i>
      <x/>
    </i>
    <i>
      <x v="2"/>
    </i>
    <i>
      <x v="3"/>
    </i>
    <i>
      <x v="1"/>
    </i>
    <i>
      <x v="5"/>
    </i>
    <i>
      <x v="4"/>
    </i>
    <i t="grand">
      <x/>
    </i>
  </rowItems>
  <colFields count="1">
    <field x="-2"/>
  </colFields>
  <colItems count="2">
    <i>
      <x/>
    </i>
    <i i="1">
      <x v="1"/>
    </i>
  </colItems>
  <dataFields count="2">
    <dataField name="Average of avg_days_open" fld="5" subtotal="average" baseField="0" baseItem="0"/>
    <dataField name="Average of payer_benchmark_turnaround_days" fld="6" subtotal="average" baseField="0" baseItem="0"/>
  </dataFields>
  <formats count="1">
    <format dxfId="3">
      <pivotArea collapsedLevelsAreSubtotals="1" fieldPosition="0">
        <references count="1">
          <reference field="0"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er_type" xr10:uid="{3F739EE3-4D99-1341-99DE-7E2399BDB2B3}" sourceName="payer_type">
  <pivotTables>
    <pivotTable tabId="8" name="PivotTable8"/>
    <pivotTable tabId="8" name="PivotTable7"/>
  </pivotTables>
  <data>
    <tabular pivotCacheId="666360170">
      <items count="6">
        <i x="5" s="1"/>
        <i x="3" s="1"/>
        <i x="0"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der_specialty" xr10:uid="{9D1C8AC4-FE0F-2941-B109-BC1B89E0EDDF}" sourceName="provider_specialty">
  <pivotTables>
    <pivotTable tabId="9" name="PivotTable9"/>
    <pivotTable tabId="9" name="PivotTable10"/>
    <pivotTable tabId="9" name="PivotTable11"/>
  </pivotTables>
  <data>
    <tabular pivotCacheId="2128032568">
      <items count="7">
        <i x="1" s="1"/>
        <i x="5" s="1"/>
        <i x="4" s="1"/>
        <i x="2" s="1"/>
        <i x="3"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er_type" xr10:uid="{CBC95F0B-BC10-8E46-BF76-F55BA9F5E7ED}" cache="Slicer_payer_type" caption="payer_type" style="SlicerStyleOther2" rowHeight="251883"/>
  <slicer name="provider_specialty" xr10:uid="{F9C766D2-6208-0E4C-B208-80963AAD1663}" cache="Slicer_provider_specialty" caption="provider_specialty" style="SlicerStyleOther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EDE20B-01F7-1749-8C7C-79717624DAEE}" name="data_payer_summary" displayName="data_payer_summary" ref="A1:E7" totalsRowShown="0">
  <autoFilter ref="A1:E7" xr:uid="{5EEDE20B-01F7-1749-8C7C-79717624DAEE}"/>
  <tableColumns count="5">
    <tableColumn id="1" xr3:uid="{617150BD-0BD4-6A47-9555-3DD5BDB0F1D6}" name="payer_type"/>
    <tableColumn id="2" xr3:uid="{3FA6D92D-C53D-934C-B722-33092BC061D8}" name="total_claims"/>
    <tableColumn id="3" xr3:uid="{0D6DC102-51FD-C247-8181-82F529680CAC}" name="total_denied_claims"/>
    <tableColumn id="4" xr3:uid="{8E05012B-B6CC-6B44-8969-C7C58CA9C189}" name="denial_rate_pct"/>
    <tableColumn id="5" xr3:uid="{217781A4-1BDD-6345-B940-85D766B7B845}" name="total_estimated_recovery_us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DDAB81-8975-244B-9951-6F6E1AB0266E}" name="Denial_Root_Cause" displayName="Denial_Root_Cause" ref="A1:G22" totalsRowShown="0" headerRowDxfId="39" dataDxfId="38">
  <autoFilter ref="A1:G22" xr:uid="{92DDAB81-8975-244B-9951-6F6E1AB0266E}"/>
  <tableColumns count="7">
    <tableColumn id="1" xr3:uid="{01659BB1-0EC1-374A-9059-EC783CD82634}" name="denial_category" dataDxfId="37"/>
    <tableColumn id="2" xr3:uid="{1F28D9DE-C503-BE4B-A0B5-E34ED026BDE9}" name="denial_code_description" dataDxfId="36"/>
    <tableColumn id="3" xr3:uid="{B1C30F29-F9A0-D54D-B7A1-4B0C152DC6E0}" name="total_denials" dataDxfId="35"/>
    <tableColumn id="4" xr3:uid="{0E496035-58B8-154E-BF19-B4BB8CA62039}" name="appealable" dataDxfId="34"/>
    <tableColumn id="5" xr3:uid="{C4C8CC78-73F8-3142-9850-F7FACFBFFEA6}" name="avg_appeal_success_pct" dataDxfId="33"/>
    <tableColumn id="6" xr3:uid="{1B64D91B-16FA-E84E-A246-1E07CB40B30D}" name="total_recoverable_usd" dataDxfId="32"/>
    <tableColumn id="7" xr3:uid="{1A7E22D6-2896-4D46-8D3D-89BCBA263BB4}" name="recovery_action" dataDxfId="3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3E745A-9284-6548-AB25-68940004B3CD}" name="data_specialty_risk" displayName="data_specialty_risk" ref="A1:F16" totalsRowShown="0" headerRowDxfId="29" dataDxfId="28">
  <autoFilter ref="A1:F16" xr:uid="{163E745A-9284-6548-AB25-68940004B3CD}"/>
  <tableColumns count="6">
    <tableColumn id="1" xr3:uid="{BE9CDE57-0EE9-5F4D-9242-04CB6846AD49}" name="provider_specialty" dataDxfId="27"/>
    <tableColumn id="2" xr3:uid="{E271F639-675B-C14E-8292-B79B31F39F52}" name="cpt_code" dataDxfId="26"/>
    <tableColumn id="3" xr3:uid="{3781B84A-A24E-6748-9054-5EE832FDD5DD}" name="total_claims" dataDxfId="25"/>
    <tableColumn id="4" xr3:uid="{921C2620-CD83-204E-972D-784817747E0F}" name="denied_claims" dataDxfId="24"/>
    <tableColumn id="5" xr3:uid="{6A541A7B-8B68-174D-A539-A687972962CA}" name="specialty_denial_rate_pct" dataDxfId="23"/>
    <tableColumn id="6" xr3:uid="{890516D1-85E8-454B-A125-D4E358358D4C}" name="total_at_risk_dollars" dataDxfId="2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92F6CB-1F94-2F49-A211-213B32E6A83F}" name="data_ar_dso_metrics" displayName="data_ar_dso_metrics" ref="A1:I391" totalsRowShown="0" headerRowDxfId="14" dataDxfId="13">
  <autoFilter ref="A1:I391" xr:uid="{7292F6CB-1F94-2F49-A211-213B32E6A83F}"/>
  <tableColumns count="9">
    <tableColumn id="1" xr3:uid="{65488746-2AD6-BD42-ADA1-C7FBB8D45E44}" name="payer_type" dataDxfId="12"/>
    <tableColumn id="2" xr3:uid="{E967AA58-6D5D-6242-A717-9144E38B9F14}" name="provider_specialty" dataDxfId="11"/>
    <tableColumn id="3" xr3:uid="{77012382-D36F-4C4A-97E4-5F1BD9D9EC8A}" name="ar_aging_bucket" dataDxfId="10"/>
    <tableColumn id="4" xr3:uid="{2E066BF0-627F-5D4F-9759-F4E91D6C93D0}" name="total_claims" dataDxfId="9"/>
    <tableColumn id="5" xr3:uid="{9F6DB3A8-2806-D048-B388-8DB2758B390A}" name="total_at_risk_recovery_usd" dataDxfId="8"/>
    <tableColumn id="6" xr3:uid="{58C376B9-AE50-0243-A040-3E62F9671EF4}" name="avg_days_open" dataDxfId="7"/>
    <tableColumn id="7" xr3:uid="{0C204B95-ECA8-934E-9A64-F500F6461995}" name="payer_benchmark_turnaround_days" dataDxfId="6"/>
    <tableColumn id="8" xr3:uid="{42DB2ACF-B9E5-C047-8985-86CEB4182A95}" name="avg_appeal_success_pct" dataDxfId="5"/>
    <tableColumn id="9" xr3:uid="{D2ED6A72-D7B2-BA47-B4B9-C7DC294D4E4D}" name="running_total_at_risk_usd"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3.xml"/><Relationship Id="rId4"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A1886-81E9-BA4D-A241-432F94DB8568}">
  <dimension ref="A1:H91"/>
  <sheetViews>
    <sheetView showGridLines="0" tabSelected="1" topLeftCell="A53" workbookViewId="0">
      <selection activeCell="L88" sqref="L88"/>
    </sheetView>
  </sheetViews>
  <sheetFormatPr baseColWidth="10" defaultRowHeight="16"/>
  <sheetData>
    <row r="1" spans="1:8" ht="16" customHeight="1">
      <c r="A1" s="17" t="s">
        <v>100</v>
      </c>
      <c r="B1" s="17"/>
      <c r="C1" s="17"/>
      <c r="D1" s="17"/>
      <c r="E1" s="17"/>
      <c r="F1" s="17"/>
      <c r="G1" s="17"/>
      <c r="H1" s="17"/>
    </row>
    <row r="2" spans="1:8" ht="16" customHeight="1">
      <c r="A2" s="17"/>
      <c r="B2" s="17"/>
      <c r="C2" s="17"/>
      <c r="D2" s="17"/>
      <c r="E2" s="17"/>
      <c r="F2" s="17"/>
      <c r="G2" s="17"/>
      <c r="H2" s="17"/>
    </row>
    <row r="3" spans="1:8" ht="16" customHeight="1">
      <c r="A3" s="17"/>
      <c r="B3" s="17"/>
      <c r="C3" s="17"/>
      <c r="D3" s="17"/>
      <c r="E3" s="17"/>
      <c r="F3" s="17"/>
      <c r="G3" s="17"/>
      <c r="H3" s="17"/>
    </row>
    <row r="4" spans="1:8" ht="16" customHeight="1">
      <c r="A4" s="17"/>
      <c r="B4" s="17"/>
      <c r="C4" s="17"/>
      <c r="D4" s="17"/>
      <c r="E4" s="17"/>
      <c r="F4" s="17"/>
      <c r="G4" s="17"/>
      <c r="H4" s="17"/>
    </row>
    <row r="5" spans="1:8" ht="16" customHeight="1">
      <c r="A5" s="17"/>
      <c r="B5" s="17"/>
      <c r="C5" s="17"/>
      <c r="D5" s="17"/>
      <c r="E5" s="17"/>
      <c r="F5" s="17"/>
      <c r="G5" s="17"/>
      <c r="H5" s="17"/>
    </row>
    <row r="6" spans="1:8" ht="16" customHeight="1">
      <c r="A6" s="17"/>
      <c r="B6" s="17"/>
      <c r="C6" s="17"/>
      <c r="D6" s="17"/>
      <c r="E6" s="17"/>
      <c r="F6" s="17"/>
      <c r="G6" s="17"/>
      <c r="H6" s="17"/>
    </row>
    <row r="7" spans="1:8" ht="16" customHeight="1">
      <c r="A7" s="17"/>
      <c r="B7" s="17"/>
      <c r="C7" s="17"/>
      <c r="D7" s="17"/>
      <c r="E7" s="17"/>
      <c r="F7" s="17"/>
      <c r="G7" s="17"/>
      <c r="H7" s="17"/>
    </row>
    <row r="8" spans="1:8" ht="16" customHeight="1">
      <c r="A8" s="13"/>
      <c r="B8" s="13"/>
      <c r="C8" s="13"/>
      <c r="D8" s="13"/>
      <c r="E8" s="13"/>
      <c r="F8" s="13"/>
      <c r="G8" s="13"/>
      <c r="H8" s="13"/>
    </row>
    <row r="9" spans="1:8" ht="16" customHeight="1">
      <c r="A9" s="13"/>
      <c r="B9" s="13"/>
      <c r="C9" s="13"/>
      <c r="D9" s="13"/>
      <c r="E9" s="13"/>
      <c r="F9" s="13"/>
      <c r="G9" s="13"/>
      <c r="H9" s="13"/>
    </row>
    <row r="10" spans="1:8" ht="16" customHeight="1">
      <c r="A10" s="13"/>
      <c r="B10" s="13"/>
      <c r="C10" s="13"/>
      <c r="D10" s="13"/>
      <c r="E10" s="13"/>
      <c r="F10" s="13"/>
      <c r="G10" s="13"/>
      <c r="H10" s="13"/>
    </row>
    <row r="11" spans="1:8" ht="16" customHeight="1">
      <c r="A11" s="13"/>
      <c r="B11" s="13"/>
      <c r="C11" s="13"/>
      <c r="D11" s="13"/>
      <c r="E11" s="13"/>
      <c r="F11" s="13"/>
      <c r="G11" s="13"/>
      <c r="H11" s="13"/>
    </row>
    <row r="12" spans="1:8" ht="16" customHeight="1">
      <c r="A12" s="13"/>
      <c r="B12" s="13"/>
      <c r="C12" s="13"/>
      <c r="D12" s="13"/>
      <c r="E12" s="13"/>
      <c r="F12" s="13"/>
      <c r="G12" s="13"/>
      <c r="H12" s="13"/>
    </row>
    <row r="15" spans="1:8" ht="23">
      <c r="B15" s="14" t="s">
        <v>101</v>
      </c>
    </row>
    <row r="17" spans="2:2">
      <c r="B17" s="15" t="s">
        <v>138</v>
      </c>
    </row>
    <row r="18" spans="2:2">
      <c r="B18" s="15"/>
    </row>
    <row r="19" spans="2:2">
      <c r="B19" s="15" t="s">
        <v>139</v>
      </c>
    </row>
    <row r="21" spans="2:2">
      <c r="B21" s="12" t="s">
        <v>102</v>
      </c>
    </row>
    <row r="23" spans="2:2">
      <c r="B23" s="12" t="s">
        <v>103</v>
      </c>
    </row>
    <row r="25" spans="2:2">
      <c r="B25" s="12" t="s">
        <v>104</v>
      </c>
    </row>
    <row r="27" spans="2:2" ht="23">
      <c r="B27" s="14" t="s">
        <v>105</v>
      </c>
    </row>
    <row r="29" spans="2:2" ht="18">
      <c r="B29" s="16" t="s">
        <v>106</v>
      </c>
    </row>
    <row r="31" spans="2:2">
      <c r="B31" s="15" t="s">
        <v>107</v>
      </c>
    </row>
    <row r="33" spans="2:2">
      <c r="B33" s="12" t="s">
        <v>108</v>
      </c>
    </row>
    <row r="35" spans="2:2">
      <c r="B35" s="12" t="s">
        <v>109</v>
      </c>
    </row>
    <row r="37" spans="2:2">
      <c r="B37" s="12" t="s">
        <v>110</v>
      </c>
    </row>
    <row r="39" spans="2:2" ht="18">
      <c r="B39" s="16" t="s">
        <v>111</v>
      </c>
    </row>
    <row r="41" spans="2:2">
      <c r="B41" s="15" t="s">
        <v>112</v>
      </c>
    </row>
    <row r="43" spans="2:2">
      <c r="B43" s="12" t="s">
        <v>113</v>
      </c>
    </row>
    <row r="45" spans="2:2">
      <c r="B45" s="12" t="s">
        <v>114</v>
      </c>
    </row>
    <row r="47" spans="2:2">
      <c r="B47" s="12" t="s">
        <v>115</v>
      </c>
    </row>
    <row r="49" spans="2:3" ht="18">
      <c r="B49" s="16" t="s">
        <v>116</v>
      </c>
    </row>
    <row r="51" spans="2:3">
      <c r="B51" s="15" t="s">
        <v>117</v>
      </c>
    </row>
    <row r="53" spans="2:3">
      <c r="B53" s="12" t="s">
        <v>140</v>
      </c>
    </row>
    <row r="55" spans="2:3">
      <c r="B55" s="12" t="s">
        <v>136</v>
      </c>
    </row>
    <row r="57" spans="2:3">
      <c r="B57" s="12" t="s">
        <v>141</v>
      </c>
    </row>
    <row r="58" spans="2:3">
      <c r="B58" s="12"/>
    </row>
    <row r="59" spans="2:3">
      <c r="B59" s="15" t="s">
        <v>137</v>
      </c>
      <c r="C59" s="15"/>
    </row>
    <row r="61" spans="2:3" ht="23">
      <c r="B61" s="14" t="s">
        <v>118</v>
      </c>
    </row>
    <row r="63" spans="2:3">
      <c r="B63" s="15" t="s">
        <v>119</v>
      </c>
    </row>
    <row r="65" spans="2:2">
      <c r="B65" s="12" t="s">
        <v>120</v>
      </c>
    </row>
    <row r="67" spans="2:2">
      <c r="B67" s="12" t="s">
        <v>121</v>
      </c>
    </row>
    <row r="69" spans="2:2">
      <c r="B69" s="12" t="s">
        <v>122</v>
      </c>
    </row>
    <row r="71" spans="2:2" ht="23">
      <c r="B71" s="14" t="s">
        <v>123</v>
      </c>
    </row>
    <row r="73" spans="2:2">
      <c r="B73" s="15" t="s">
        <v>124</v>
      </c>
    </row>
    <row r="75" spans="2:2" ht="18">
      <c r="B75" s="16" t="s">
        <v>134</v>
      </c>
    </row>
    <row r="77" spans="2:2">
      <c r="B77" s="12" t="s">
        <v>125</v>
      </c>
    </row>
    <row r="79" spans="2:2">
      <c r="B79" s="12" t="s">
        <v>126</v>
      </c>
    </row>
    <row r="81" spans="2:2" ht="18">
      <c r="B81" s="16" t="s">
        <v>127</v>
      </c>
    </row>
    <row r="83" spans="2:2">
      <c r="B83" s="12" t="s">
        <v>128</v>
      </c>
    </row>
    <row r="85" spans="2:2">
      <c r="B85" s="12" t="s">
        <v>143</v>
      </c>
    </row>
    <row r="87" spans="2:2" ht="18">
      <c r="B87" s="16" t="s">
        <v>129</v>
      </c>
    </row>
    <row r="89" spans="2:2">
      <c r="B89" s="12" t="s">
        <v>130</v>
      </c>
    </row>
    <row r="91" spans="2:2">
      <c r="B91" s="12" t="s">
        <v>131</v>
      </c>
    </row>
  </sheetData>
  <mergeCells count="1">
    <mergeCell ref="A1:H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0C6BE-E17E-8F43-84B5-1BD92EFB4704}">
  <dimension ref="A1:U41"/>
  <sheetViews>
    <sheetView showGridLines="0" zoomScale="120" zoomScaleNormal="120" workbookViewId="0">
      <selection activeCell="H8" sqref="H8"/>
    </sheetView>
  </sheetViews>
  <sheetFormatPr baseColWidth="10" defaultRowHeight="16"/>
  <cols>
    <col min="2" max="2" width="10.83203125" customWidth="1"/>
    <col min="8" max="8" width="12.6640625" bestFit="1" customWidth="1"/>
  </cols>
  <sheetData>
    <row r="1" spans="1:9" ht="16" customHeight="1">
      <c r="A1" s="18" t="s">
        <v>57</v>
      </c>
      <c r="B1" s="18"/>
      <c r="C1" s="18"/>
      <c r="D1" s="18"/>
      <c r="E1" s="18"/>
      <c r="F1" s="18"/>
      <c r="G1" s="18"/>
      <c r="H1" s="18"/>
    </row>
    <row r="2" spans="1:9">
      <c r="A2" s="18"/>
      <c r="B2" s="18"/>
      <c r="C2" s="18"/>
      <c r="D2" s="18"/>
      <c r="E2" s="18"/>
      <c r="F2" s="18"/>
      <c r="G2" s="18"/>
      <c r="H2" s="18"/>
    </row>
    <row r="3" spans="1:9">
      <c r="A3" s="18"/>
      <c r="B3" s="18"/>
      <c r="C3" s="18"/>
      <c r="D3" s="18"/>
      <c r="E3" s="18"/>
      <c r="F3" s="18"/>
      <c r="G3" s="18"/>
      <c r="H3" s="18"/>
    </row>
    <row r="4" spans="1:9">
      <c r="A4" s="19" t="s">
        <v>95</v>
      </c>
      <c r="B4" s="19"/>
      <c r="C4" s="19"/>
      <c r="D4" s="19" t="s">
        <v>96</v>
      </c>
      <c r="E4" s="19"/>
      <c r="F4" s="19"/>
      <c r="G4" s="19" t="s">
        <v>135</v>
      </c>
      <c r="H4" s="19"/>
      <c r="I4" s="19"/>
    </row>
    <row r="5" spans="1:9">
      <c r="A5" s="19"/>
      <c r="B5" s="19"/>
      <c r="C5" s="19"/>
      <c r="D5" s="19"/>
      <c r="E5" s="19"/>
      <c r="F5" s="19"/>
      <c r="G5" s="19"/>
      <c r="H5" s="19"/>
      <c r="I5" s="19"/>
    </row>
    <row r="6" spans="1:9" ht="29">
      <c r="A6" s="20">
        <f>Pivot_1!D8</f>
        <v>32505297.93</v>
      </c>
      <c r="B6" s="20"/>
      <c r="C6" s="10"/>
      <c r="D6" s="21">
        <f>Pivot_3!B9</f>
        <v>24866613.129999999</v>
      </c>
      <c r="E6" s="21"/>
      <c r="F6" s="21"/>
      <c r="G6" s="11"/>
      <c r="H6" s="11"/>
      <c r="I6" s="11"/>
    </row>
    <row r="7" spans="1:9" ht="29">
      <c r="A7" s="20"/>
      <c r="B7" s="20"/>
      <c r="C7" s="10"/>
      <c r="D7" s="21"/>
      <c r="E7" s="21"/>
      <c r="F7" s="21"/>
      <c r="G7" s="11"/>
      <c r="H7" s="23">
        <f>Pivot_2!B29</f>
        <v>9881803.1300000008</v>
      </c>
      <c r="I7" s="11"/>
    </row>
    <row r="8" spans="1:9">
      <c r="A8" s="12" t="s">
        <v>97</v>
      </c>
    </row>
    <row r="10" spans="1:9">
      <c r="A10" s="12" t="s">
        <v>98</v>
      </c>
    </row>
    <row r="12" spans="1:9">
      <c r="A12" s="12" t="s">
        <v>99</v>
      </c>
    </row>
    <row r="14" spans="1:9">
      <c r="A14" s="12" t="s">
        <v>132</v>
      </c>
    </row>
    <row r="16" spans="1:9">
      <c r="A16" s="12" t="s">
        <v>133</v>
      </c>
    </row>
    <row r="33" spans="21:21">
      <c r="U33" s="12"/>
    </row>
    <row r="35" spans="21:21">
      <c r="U35" s="12"/>
    </row>
    <row r="37" spans="21:21">
      <c r="U37" s="12"/>
    </row>
    <row r="39" spans="21:21">
      <c r="U39" s="12"/>
    </row>
    <row r="41" spans="21:21">
      <c r="U41" s="12"/>
    </row>
  </sheetData>
  <mergeCells count="6">
    <mergeCell ref="A1:H3"/>
    <mergeCell ref="A4:C5"/>
    <mergeCell ref="A6:B7"/>
    <mergeCell ref="D4:F5"/>
    <mergeCell ref="G4:I5"/>
    <mergeCell ref="D6:F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A7B01-5055-484E-A74C-60C9D040CEBA}">
  <dimension ref="A1:E7"/>
  <sheetViews>
    <sheetView workbookViewId="0">
      <selection activeCell="D50" sqref="D50"/>
    </sheetView>
  </sheetViews>
  <sheetFormatPr baseColWidth="10" defaultRowHeight="16"/>
  <cols>
    <col min="1" max="1" width="18.1640625" bestFit="1" customWidth="1"/>
    <col min="2" max="2" width="17.6640625" bestFit="1" customWidth="1"/>
    <col min="3" max="3" width="24.1640625" bestFit="1" customWidth="1"/>
    <col min="4" max="4" width="10.33203125" bestFit="1" customWidth="1"/>
    <col min="5" max="6" width="32.6640625" bestFit="1" customWidth="1"/>
  </cols>
  <sheetData>
    <row r="1" spans="1:5">
      <c r="A1" t="s">
        <v>0</v>
      </c>
      <c r="B1" t="s">
        <v>1</v>
      </c>
      <c r="C1" t="s">
        <v>2</v>
      </c>
      <c r="D1" t="s">
        <v>3</v>
      </c>
      <c r="E1" t="s">
        <v>4</v>
      </c>
    </row>
    <row r="2" spans="1:5">
      <c r="A2" t="s">
        <v>5</v>
      </c>
      <c r="B2">
        <v>30016</v>
      </c>
      <c r="C2">
        <v>8338</v>
      </c>
      <c r="D2">
        <v>27.78</v>
      </c>
      <c r="E2">
        <v>10518724.57</v>
      </c>
    </row>
    <row r="3" spans="1:5">
      <c r="A3" t="s">
        <v>6</v>
      </c>
      <c r="B3">
        <v>26300</v>
      </c>
      <c r="C3">
        <v>7378</v>
      </c>
      <c r="D3">
        <v>28.05</v>
      </c>
      <c r="E3">
        <v>6170343.0300000003</v>
      </c>
    </row>
    <row r="4" spans="1:5">
      <c r="A4" t="s">
        <v>7</v>
      </c>
      <c r="B4">
        <v>21758</v>
      </c>
      <c r="C4">
        <v>6148</v>
      </c>
      <c r="D4">
        <v>28.26</v>
      </c>
      <c r="E4">
        <v>5186073.26</v>
      </c>
    </row>
    <row r="5" spans="1:5">
      <c r="A5" t="s">
        <v>8</v>
      </c>
      <c r="B5">
        <v>15458</v>
      </c>
      <c r="C5">
        <v>4324</v>
      </c>
      <c r="D5">
        <v>27.97</v>
      </c>
      <c r="E5">
        <v>5071501.7699999996</v>
      </c>
    </row>
    <row r="6" spans="1:5">
      <c r="A6" t="s">
        <v>9</v>
      </c>
      <c r="B6">
        <v>17996</v>
      </c>
      <c r="C6">
        <v>5130</v>
      </c>
      <c r="D6">
        <v>28.51</v>
      </c>
      <c r="E6">
        <v>2918486.96</v>
      </c>
    </row>
    <row r="7" spans="1:5">
      <c r="A7" t="s">
        <v>10</v>
      </c>
      <c r="B7">
        <v>8472</v>
      </c>
      <c r="C7">
        <v>2346</v>
      </c>
      <c r="D7">
        <v>27.69</v>
      </c>
      <c r="E7">
        <v>2640168.34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143C-850D-A54B-9F41-E38A0AFE9F1D}">
  <dimension ref="A1:D18"/>
  <sheetViews>
    <sheetView workbookViewId="0">
      <selection activeCell="J1" sqref="J1"/>
    </sheetView>
  </sheetViews>
  <sheetFormatPr baseColWidth="10" defaultRowHeight="16"/>
  <cols>
    <col min="1" max="1" width="18.1640625" bestFit="1" customWidth="1"/>
    <col min="2" max="2" width="19.33203125" bestFit="1" customWidth="1"/>
    <col min="3" max="3" width="24.1640625" bestFit="1" customWidth="1"/>
    <col min="4" max="4" width="32.6640625" bestFit="1" customWidth="1"/>
  </cols>
  <sheetData>
    <row r="1" spans="1:4">
      <c r="A1" s="3" t="s">
        <v>58</v>
      </c>
      <c r="B1" t="s">
        <v>60</v>
      </c>
      <c r="C1" t="s">
        <v>61</v>
      </c>
      <c r="D1" t="s">
        <v>62</v>
      </c>
    </row>
    <row r="2" spans="1:4">
      <c r="A2" s="4" t="s">
        <v>10</v>
      </c>
      <c r="B2">
        <v>8472</v>
      </c>
      <c r="C2">
        <v>2346</v>
      </c>
      <c r="D2" s="5">
        <v>2640168.34</v>
      </c>
    </row>
    <row r="3" spans="1:4">
      <c r="A3" s="4" t="s">
        <v>9</v>
      </c>
      <c r="B3">
        <v>17996</v>
      </c>
      <c r="C3">
        <v>5130</v>
      </c>
      <c r="D3" s="5">
        <v>2918486.96</v>
      </c>
    </row>
    <row r="4" spans="1:4">
      <c r="A4" s="4" t="s">
        <v>8</v>
      </c>
      <c r="B4">
        <v>15458</v>
      </c>
      <c r="C4">
        <v>4324</v>
      </c>
      <c r="D4" s="5">
        <v>5071501.7699999996</v>
      </c>
    </row>
    <row r="5" spans="1:4">
      <c r="A5" s="4" t="s">
        <v>7</v>
      </c>
      <c r="B5">
        <v>21758</v>
      </c>
      <c r="C5">
        <v>6148</v>
      </c>
      <c r="D5" s="5">
        <v>5186073.26</v>
      </c>
    </row>
    <row r="6" spans="1:4">
      <c r="A6" s="4" t="s">
        <v>6</v>
      </c>
      <c r="B6">
        <v>26300</v>
      </c>
      <c r="C6">
        <v>7378</v>
      </c>
      <c r="D6" s="5">
        <v>6170343.0300000003</v>
      </c>
    </row>
    <row r="7" spans="1:4">
      <c r="A7" s="4" t="s">
        <v>5</v>
      </c>
      <c r="B7">
        <v>30016</v>
      </c>
      <c r="C7">
        <v>8338</v>
      </c>
      <c r="D7" s="5">
        <v>10518724.57</v>
      </c>
    </row>
    <row r="8" spans="1:4">
      <c r="A8" s="4" t="s">
        <v>59</v>
      </c>
      <c r="B8">
        <v>120000</v>
      </c>
      <c r="C8">
        <v>33664</v>
      </c>
      <c r="D8" s="9">
        <v>32505297.93</v>
      </c>
    </row>
    <row r="11" spans="1:4">
      <c r="A11" s="3" t="s">
        <v>58</v>
      </c>
      <c r="B11" t="s">
        <v>92</v>
      </c>
    </row>
    <row r="12" spans="1:4">
      <c r="A12" s="4" t="s">
        <v>10</v>
      </c>
      <c r="B12" s="5">
        <v>2640168.34</v>
      </c>
    </row>
    <row r="13" spans="1:4">
      <c r="A13" s="4" t="s">
        <v>9</v>
      </c>
      <c r="B13" s="5">
        <v>2918486.96</v>
      </c>
    </row>
    <row r="14" spans="1:4">
      <c r="A14" s="4" t="s">
        <v>8</v>
      </c>
      <c r="B14" s="5">
        <v>5071501.7699999996</v>
      </c>
    </row>
    <row r="15" spans="1:4">
      <c r="A15" s="4" t="s">
        <v>7</v>
      </c>
      <c r="B15" s="5">
        <v>5186073.26</v>
      </c>
    </row>
    <row r="16" spans="1:4">
      <c r="A16" s="4" t="s">
        <v>6</v>
      </c>
      <c r="B16" s="5">
        <v>6170343.0300000003</v>
      </c>
    </row>
    <row r="17" spans="1:2">
      <c r="A17" s="4" t="s">
        <v>5</v>
      </c>
      <c r="B17" s="5">
        <v>10518724.57</v>
      </c>
    </row>
    <row r="18" spans="1:2">
      <c r="A18" s="4" t="s">
        <v>59</v>
      </c>
      <c r="B18">
        <v>32505297.93</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153DA-2B88-A14D-8AD6-4904A3943F73}">
  <dimension ref="A1:G22"/>
  <sheetViews>
    <sheetView workbookViewId="0">
      <selection sqref="A1:G22"/>
    </sheetView>
  </sheetViews>
  <sheetFormatPr baseColWidth="10" defaultRowHeight="16"/>
  <cols>
    <col min="1" max="1" width="16.5" customWidth="1"/>
    <col min="2" max="2" width="36" bestFit="1" customWidth="1"/>
    <col min="3" max="3" width="18" bestFit="1" customWidth="1"/>
    <col min="4" max="4" width="25.5" customWidth="1"/>
    <col min="5" max="5" width="23.5" customWidth="1"/>
    <col min="6" max="6" width="21.5" customWidth="1"/>
    <col min="7" max="7" width="21.1640625" bestFit="1" customWidth="1"/>
  </cols>
  <sheetData>
    <row r="1" spans="1:7">
      <c r="A1" s="1" t="s">
        <v>11</v>
      </c>
      <c r="B1" s="1" t="s">
        <v>12</v>
      </c>
      <c r="C1" s="1" t="s">
        <v>13</v>
      </c>
      <c r="D1" s="1" t="s">
        <v>14</v>
      </c>
      <c r="E1" s="1" t="s">
        <v>15</v>
      </c>
      <c r="F1" s="1" t="s">
        <v>16</v>
      </c>
      <c r="G1" s="1" t="s">
        <v>17</v>
      </c>
    </row>
    <row r="2" spans="1:7">
      <c r="A2" s="1" t="s">
        <v>18</v>
      </c>
      <c r="B2" s="2" t="s">
        <v>19</v>
      </c>
      <c r="C2" s="2">
        <v>1817</v>
      </c>
      <c r="D2" s="2" t="b">
        <v>1</v>
      </c>
      <c r="E2" s="2">
        <v>74.099999999999994</v>
      </c>
      <c r="F2" s="2">
        <v>3276418.6</v>
      </c>
      <c r="G2" s="2" t="s">
        <v>20</v>
      </c>
    </row>
    <row r="3" spans="1:7">
      <c r="A3" s="1" t="s">
        <v>18</v>
      </c>
      <c r="B3" s="2" t="s">
        <v>21</v>
      </c>
      <c r="C3" s="2">
        <v>1814</v>
      </c>
      <c r="D3" s="2" t="b">
        <v>1</v>
      </c>
      <c r="E3" s="2">
        <v>74.3</v>
      </c>
      <c r="F3" s="2">
        <v>3087907.38</v>
      </c>
      <c r="G3" s="2" t="s">
        <v>20</v>
      </c>
    </row>
    <row r="4" spans="1:7">
      <c r="A4" s="1" t="s">
        <v>18</v>
      </c>
      <c r="B4" s="2" t="s">
        <v>22</v>
      </c>
      <c r="C4" s="2">
        <v>1896</v>
      </c>
      <c r="D4" s="2" t="b">
        <v>1</v>
      </c>
      <c r="E4" s="2">
        <v>74</v>
      </c>
      <c r="F4" s="2">
        <v>2942009.78</v>
      </c>
      <c r="G4" s="2" t="s">
        <v>20</v>
      </c>
    </row>
    <row r="5" spans="1:7">
      <c r="A5" s="1" t="s">
        <v>18</v>
      </c>
      <c r="B5" s="2" t="s">
        <v>23</v>
      </c>
      <c r="C5" s="2">
        <v>1817</v>
      </c>
      <c r="D5" s="2" t="b">
        <v>1</v>
      </c>
      <c r="E5" s="2">
        <v>74.3</v>
      </c>
      <c r="F5" s="2">
        <v>2904984.51</v>
      </c>
      <c r="G5" s="2" t="s">
        <v>20</v>
      </c>
    </row>
    <row r="6" spans="1:7">
      <c r="A6" s="1" t="s">
        <v>24</v>
      </c>
      <c r="B6" s="2" t="s">
        <v>19</v>
      </c>
      <c r="C6" s="2">
        <v>2419</v>
      </c>
      <c r="D6" s="2" t="b">
        <v>1</v>
      </c>
      <c r="E6" s="2">
        <v>47</v>
      </c>
      <c r="F6" s="2">
        <v>2559555.4900000002</v>
      </c>
      <c r="G6" s="2" t="s">
        <v>25</v>
      </c>
    </row>
    <row r="7" spans="1:7">
      <c r="A7" s="1" t="s">
        <v>24</v>
      </c>
      <c r="B7" s="2" t="s">
        <v>26</v>
      </c>
      <c r="C7" s="2">
        <v>2330</v>
      </c>
      <c r="D7" s="2" t="b">
        <v>1</v>
      </c>
      <c r="E7" s="2">
        <v>47</v>
      </c>
      <c r="F7" s="2">
        <v>2547468.5499999998</v>
      </c>
      <c r="G7" s="2" t="s">
        <v>25</v>
      </c>
    </row>
    <row r="8" spans="1:7">
      <c r="A8" s="1" t="s">
        <v>24</v>
      </c>
      <c r="B8" s="2" t="s">
        <v>27</v>
      </c>
      <c r="C8" s="2">
        <v>2341</v>
      </c>
      <c r="D8" s="2" t="b">
        <v>1</v>
      </c>
      <c r="E8" s="2">
        <v>47.2</v>
      </c>
      <c r="F8" s="2">
        <v>2439233.1800000002</v>
      </c>
      <c r="G8" s="2" t="s">
        <v>25</v>
      </c>
    </row>
    <row r="9" spans="1:7">
      <c r="A9" s="1" t="s">
        <v>24</v>
      </c>
      <c r="B9" s="2" t="s">
        <v>28</v>
      </c>
      <c r="C9" s="2">
        <v>2354</v>
      </c>
      <c r="D9" s="2" t="b">
        <v>1</v>
      </c>
      <c r="E9" s="2">
        <v>47.1</v>
      </c>
      <c r="F9" s="2">
        <v>2335545.91</v>
      </c>
      <c r="G9" s="2" t="s">
        <v>25</v>
      </c>
    </row>
    <row r="10" spans="1:7">
      <c r="A10" s="1" t="s">
        <v>29</v>
      </c>
      <c r="B10" s="2" t="s">
        <v>30</v>
      </c>
      <c r="C10" s="2">
        <v>2043</v>
      </c>
      <c r="D10" s="2" t="b">
        <v>1</v>
      </c>
      <c r="E10" s="2">
        <v>40</v>
      </c>
      <c r="F10" s="2">
        <v>1989131.03</v>
      </c>
      <c r="G10" s="2" t="s">
        <v>31</v>
      </c>
    </row>
    <row r="11" spans="1:7">
      <c r="A11" s="1" t="s">
        <v>29</v>
      </c>
      <c r="B11" s="2" t="s">
        <v>22</v>
      </c>
      <c r="C11" s="2">
        <v>2032</v>
      </c>
      <c r="D11" s="2" t="b">
        <v>1</v>
      </c>
      <c r="E11" s="2">
        <v>40.200000000000003</v>
      </c>
      <c r="F11" s="2">
        <v>1931164.55</v>
      </c>
      <c r="G11" s="2" t="s">
        <v>31</v>
      </c>
    </row>
    <row r="12" spans="1:7">
      <c r="A12" s="1" t="s">
        <v>29</v>
      </c>
      <c r="B12" s="2" t="s">
        <v>32</v>
      </c>
      <c r="C12" s="2">
        <v>2065</v>
      </c>
      <c r="D12" s="2" t="b">
        <v>1</v>
      </c>
      <c r="E12" s="2">
        <v>40.1</v>
      </c>
      <c r="F12" s="2">
        <v>1714892.52</v>
      </c>
      <c r="G12" s="2" t="s">
        <v>31</v>
      </c>
    </row>
    <row r="13" spans="1:7">
      <c r="A13" s="1" t="s">
        <v>33</v>
      </c>
      <c r="B13" s="2" t="s">
        <v>26</v>
      </c>
      <c r="C13" s="2">
        <v>1324</v>
      </c>
      <c r="D13" s="2" t="b">
        <v>1</v>
      </c>
      <c r="E13" s="2">
        <v>27</v>
      </c>
      <c r="F13" s="2">
        <v>872615.08</v>
      </c>
      <c r="G13" s="2" t="s">
        <v>34</v>
      </c>
    </row>
    <row r="14" spans="1:7">
      <c r="A14" s="1" t="s">
        <v>33</v>
      </c>
      <c r="B14" s="2" t="s">
        <v>35</v>
      </c>
      <c r="C14" s="2">
        <v>1429</v>
      </c>
      <c r="D14" s="2" t="b">
        <v>1</v>
      </c>
      <c r="E14" s="2">
        <v>26.9</v>
      </c>
      <c r="F14" s="2">
        <v>863477.16</v>
      </c>
      <c r="G14" s="2" t="s">
        <v>34</v>
      </c>
    </row>
    <row r="15" spans="1:7">
      <c r="A15" s="1" t="s">
        <v>36</v>
      </c>
      <c r="B15" s="2" t="s">
        <v>37</v>
      </c>
      <c r="C15" s="2">
        <v>611</v>
      </c>
      <c r="D15" s="2" t="b">
        <v>1</v>
      </c>
      <c r="E15" s="2">
        <v>62.2</v>
      </c>
      <c r="F15" s="2">
        <v>857514.6</v>
      </c>
      <c r="G15" s="2" t="s">
        <v>20</v>
      </c>
    </row>
    <row r="16" spans="1:7">
      <c r="A16" s="1" t="s">
        <v>33</v>
      </c>
      <c r="B16" s="2" t="s">
        <v>38</v>
      </c>
      <c r="C16" s="2">
        <v>1331</v>
      </c>
      <c r="D16" s="2" t="b">
        <v>1</v>
      </c>
      <c r="E16" s="2">
        <v>27.1</v>
      </c>
      <c r="F16" s="2">
        <v>787778.93</v>
      </c>
      <c r="G16" s="2" t="s">
        <v>34</v>
      </c>
    </row>
    <row r="17" spans="1:7">
      <c r="A17" s="1" t="s">
        <v>36</v>
      </c>
      <c r="B17" s="2" t="s">
        <v>23</v>
      </c>
      <c r="C17" s="2">
        <v>541</v>
      </c>
      <c r="D17" s="2" t="b">
        <v>1</v>
      </c>
      <c r="E17" s="2">
        <v>62</v>
      </c>
      <c r="F17" s="2">
        <v>722666.96</v>
      </c>
      <c r="G17" s="2" t="s">
        <v>20</v>
      </c>
    </row>
    <row r="18" spans="1:7">
      <c r="A18" s="1" t="s">
        <v>36</v>
      </c>
      <c r="B18" s="2" t="s">
        <v>21</v>
      </c>
      <c r="C18" s="2">
        <v>540</v>
      </c>
      <c r="D18" s="2" t="b">
        <v>1</v>
      </c>
      <c r="E18" s="2">
        <v>61.8</v>
      </c>
      <c r="F18" s="2">
        <v>672933.7</v>
      </c>
      <c r="G18" s="2" t="s">
        <v>20</v>
      </c>
    </row>
    <row r="19" spans="1:7">
      <c r="A19" s="1" t="s">
        <v>39</v>
      </c>
      <c r="B19" s="2" t="s">
        <v>40</v>
      </c>
      <c r="C19" s="2">
        <v>889</v>
      </c>
      <c r="D19" s="2" t="b">
        <v>0</v>
      </c>
      <c r="E19" s="2">
        <v>0</v>
      </c>
      <c r="F19" s="2">
        <v>0</v>
      </c>
      <c r="G19" s="2" t="s">
        <v>41</v>
      </c>
    </row>
    <row r="20" spans="1:7">
      <c r="A20" s="1" t="s">
        <v>39</v>
      </c>
      <c r="B20" s="2" t="s">
        <v>42</v>
      </c>
      <c r="C20" s="2">
        <v>900</v>
      </c>
      <c r="D20" s="2" t="b">
        <v>0</v>
      </c>
      <c r="E20" s="2">
        <v>0</v>
      </c>
      <c r="F20" s="2">
        <v>0</v>
      </c>
      <c r="G20" s="2" t="s">
        <v>41</v>
      </c>
    </row>
    <row r="21" spans="1:7">
      <c r="A21" s="1" t="s">
        <v>39</v>
      </c>
      <c r="B21" s="2" t="s">
        <v>23</v>
      </c>
      <c r="C21" s="2">
        <v>856</v>
      </c>
      <c r="D21" s="2" t="b">
        <v>0</v>
      </c>
      <c r="E21" s="2">
        <v>0</v>
      </c>
      <c r="F21" s="2">
        <v>0</v>
      </c>
      <c r="G21" s="2" t="s">
        <v>41</v>
      </c>
    </row>
    <row r="22" spans="1:7">
      <c r="A22" s="1" t="s">
        <v>43</v>
      </c>
      <c r="B22" s="2" t="s">
        <v>44</v>
      </c>
      <c r="C22" s="2">
        <v>2315</v>
      </c>
      <c r="D22" s="2" t="b">
        <v>0</v>
      </c>
      <c r="E22" s="2">
        <v>0</v>
      </c>
      <c r="F22" s="2">
        <v>0</v>
      </c>
      <c r="G22" s="2" t="s">
        <v>41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A6148-4372-BF40-BBA5-05690B2FE11C}">
  <dimension ref="A1:D34"/>
  <sheetViews>
    <sheetView workbookViewId="0">
      <selection activeCell="I11" sqref="I11"/>
    </sheetView>
  </sheetViews>
  <sheetFormatPr baseColWidth="10" defaultRowHeight="16"/>
  <cols>
    <col min="1" max="1" width="27.5" bestFit="1" customWidth="1"/>
    <col min="2" max="2" width="25.6640625" bestFit="1" customWidth="1"/>
    <col min="3" max="3" width="18" bestFit="1" customWidth="1"/>
    <col min="4" max="4" width="31.1640625" bestFit="1" customWidth="1"/>
  </cols>
  <sheetData>
    <row r="1" spans="1:2">
      <c r="B1" t="s">
        <v>64</v>
      </c>
    </row>
    <row r="2" spans="1:2">
      <c r="A2" s="4" t="s">
        <v>39</v>
      </c>
      <c r="B2" s="5">
        <v>0</v>
      </c>
    </row>
    <row r="3" spans="1:2">
      <c r="A3" s="4" t="s">
        <v>43</v>
      </c>
      <c r="B3" s="5">
        <v>0</v>
      </c>
    </row>
    <row r="4" spans="1:2">
      <c r="A4" s="4" t="s">
        <v>36</v>
      </c>
      <c r="B4" s="5">
        <v>2253115.2599999998</v>
      </c>
    </row>
    <row r="5" spans="1:2">
      <c r="A5" s="4" t="s">
        <v>33</v>
      </c>
      <c r="B5" s="5">
        <v>2523871.17</v>
      </c>
    </row>
    <row r="6" spans="1:2">
      <c r="A6" s="4" t="s">
        <v>29</v>
      </c>
      <c r="B6" s="5">
        <v>5635188.0999999996</v>
      </c>
    </row>
    <row r="7" spans="1:2">
      <c r="A7" s="4" t="s">
        <v>24</v>
      </c>
      <c r="B7" s="5">
        <v>9881803.1300000008</v>
      </c>
    </row>
    <row r="8" spans="1:2">
      <c r="A8" s="4" t="s">
        <v>18</v>
      </c>
      <c r="B8" s="5">
        <v>12211320.27</v>
      </c>
    </row>
    <row r="9" spans="1:2">
      <c r="A9" s="4" t="s">
        <v>59</v>
      </c>
      <c r="B9" s="5">
        <v>32505297.93</v>
      </c>
    </row>
    <row r="12" spans="1:2">
      <c r="A12" s="3" t="s">
        <v>65</v>
      </c>
      <c r="B12" t="s">
        <v>63</v>
      </c>
    </row>
    <row r="13" spans="1:2">
      <c r="A13" s="4" t="s">
        <v>41</v>
      </c>
      <c r="B13" s="5">
        <v>0</v>
      </c>
    </row>
    <row r="14" spans="1:2">
      <c r="A14" s="4" t="s">
        <v>34</v>
      </c>
      <c r="B14" s="5">
        <v>2523871.17</v>
      </c>
    </row>
    <row r="15" spans="1:2">
      <c r="A15" s="4" t="s">
        <v>31</v>
      </c>
      <c r="B15" s="5">
        <v>5635188.0999999996</v>
      </c>
    </row>
    <row r="16" spans="1:2">
      <c r="A16" s="4" t="s">
        <v>25</v>
      </c>
      <c r="B16" s="5">
        <v>9881803.1300000008</v>
      </c>
    </row>
    <row r="17" spans="1:4">
      <c r="A17" s="4" t="s">
        <v>20</v>
      </c>
      <c r="B17" s="5">
        <v>14464435.529999997</v>
      </c>
    </row>
    <row r="18" spans="1:4">
      <c r="A18" s="4" t="s">
        <v>59</v>
      </c>
      <c r="B18" s="5">
        <v>32505297.93</v>
      </c>
    </row>
    <row r="21" spans="1:4">
      <c r="A21" s="3" t="s">
        <v>65</v>
      </c>
      <c r="B21" t="s">
        <v>68</v>
      </c>
      <c r="C21" t="s">
        <v>63</v>
      </c>
    </row>
    <row r="22" spans="1:4">
      <c r="A22" s="4" t="s">
        <v>66</v>
      </c>
      <c r="B22">
        <v>0</v>
      </c>
      <c r="C22">
        <v>0</v>
      </c>
    </row>
    <row r="23" spans="1:4">
      <c r="A23" s="4" t="s">
        <v>67</v>
      </c>
      <c r="B23" s="6">
        <v>51.311764705882354</v>
      </c>
      <c r="C23" s="6">
        <v>32505297.93</v>
      </c>
    </row>
    <row r="24" spans="1:4">
      <c r="A24" s="4" t="s">
        <v>59</v>
      </c>
      <c r="B24">
        <v>41.538095238095238</v>
      </c>
      <c r="C24">
        <v>32505297.93</v>
      </c>
    </row>
    <row r="28" spans="1:4">
      <c r="A28" s="3" t="s">
        <v>65</v>
      </c>
      <c r="B28" t="s">
        <v>63</v>
      </c>
      <c r="C28" t="s">
        <v>142</v>
      </c>
      <c r="D28" t="s">
        <v>68</v>
      </c>
    </row>
    <row r="29" spans="1:4">
      <c r="A29" s="4" t="s">
        <v>25</v>
      </c>
      <c r="B29" s="7">
        <v>9881803.1300000008</v>
      </c>
      <c r="C29" s="22">
        <v>9444</v>
      </c>
      <c r="D29" s="22">
        <v>47.074999999999996</v>
      </c>
    </row>
    <row r="30" spans="1:4">
      <c r="A30" s="4" t="s">
        <v>31</v>
      </c>
      <c r="B30" s="7">
        <v>5635188.0999999996</v>
      </c>
      <c r="C30" s="22">
        <v>6140</v>
      </c>
      <c r="D30" s="22">
        <v>40.1</v>
      </c>
    </row>
    <row r="31" spans="1:4">
      <c r="A31" s="4" t="s">
        <v>20</v>
      </c>
      <c r="B31" s="7">
        <v>14464435.529999997</v>
      </c>
      <c r="C31" s="22">
        <v>9036</v>
      </c>
      <c r="D31" s="22">
        <v>68.957142857142856</v>
      </c>
    </row>
    <row r="32" spans="1:4">
      <c r="A32" s="4" t="s">
        <v>34</v>
      </c>
      <c r="B32" s="7">
        <v>2523871.17</v>
      </c>
      <c r="C32" s="22">
        <v>4084</v>
      </c>
      <c r="D32" s="22">
        <v>27</v>
      </c>
    </row>
    <row r="33" spans="1:4">
      <c r="A33" s="4" t="s">
        <v>41</v>
      </c>
      <c r="B33" s="7">
        <v>0</v>
      </c>
      <c r="C33" s="22">
        <v>4960</v>
      </c>
      <c r="D33" s="22">
        <v>0</v>
      </c>
    </row>
    <row r="34" spans="1:4">
      <c r="A34" s="4" t="s">
        <v>59</v>
      </c>
      <c r="B34" s="22">
        <v>32505297.93</v>
      </c>
      <c r="C34" s="22">
        <v>33664</v>
      </c>
      <c r="D34" s="22">
        <v>41.538095238095238</v>
      </c>
    </row>
  </sheetData>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73858-5A31-EE42-AC4A-40EF85F1F667}">
  <dimension ref="A1:F16"/>
  <sheetViews>
    <sheetView workbookViewId="0">
      <selection activeCell="F36" sqref="F36"/>
    </sheetView>
  </sheetViews>
  <sheetFormatPr baseColWidth="10" defaultRowHeight="16"/>
  <cols>
    <col min="1" max="1" width="18.33203125" customWidth="1"/>
    <col min="2" max="2" width="11" customWidth="1"/>
    <col min="3" max="3" width="13.5" customWidth="1"/>
    <col min="4" max="4" width="15.1640625" customWidth="1"/>
    <col min="5" max="5" width="24.33203125" customWidth="1"/>
    <col min="6" max="6" width="20" customWidth="1"/>
  </cols>
  <sheetData>
    <row r="1" spans="1:6">
      <c r="A1" s="1" t="s">
        <v>45</v>
      </c>
      <c r="B1" s="1" t="s">
        <v>46</v>
      </c>
      <c r="C1" s="1" t="s">
        <v>1</v>
      </c>
      <c r="D1" s="1" t="s">
        <v>47</v>
      </c>
      <c r="E1" s="1" t="s">
        <v>48</v>
      </c>
      <c r="F1" s="1" t="s">
        <v>49</v>
      </c>
    </row>
    <row r="2" spans="1:6">
      <c r="A2" s="1" t="s">
        <v>50</v>
      </c>
      <c r="B2" s="2">
        <v>27447</v>
      </c>
      <c r="C2" s="2">
        <v>2215</v>
      </c>
      <c r="D2" s="2">
        <v>597</v>
      </c>
      <c r="E2" s="2">
        <v>26.95</v>
      </c>
      <c r="F2" s="2">
        <v>6307675.71</v>
      </c>
    </row>
    <row r="3" spans="1:6">
      <c r="A3" s="1" t="s">
        <v>51</v>
      </c>
      <c r="B3" s="2">
        <v>93454</v>
      </c>
      <c r="C3" s="2">
        <v>2456</v>
      </c>
      <c r="D3" s="2">
        <v>694</v>
      </c>
      <c r="E3" s="2">
        <v>28.26</v>
      </c>
      <c r="F3" s="2">
        <v>3275477.87</v>
      </c>
    </row>
    <row r="4" spans="1:6">
      <c r="A4" s="1" t="s">
        <v>52</v>
      </c>
      <c r="B4" s="2">
        <v>59400</v>
      </c>
      <c r="C4" s="2">
        <v>1810</v>
      </c>
      <c r="D4" s="2">
        <v>523</v>
      </c>
      <c r="E4" s="2">
        <v>28.9</v>
      </c>
      <c r="F4" s="2">
        <v>2339117.46</v>
      </c>
    </row>
    <row r="5" spans="1:6">
      <c r="A5" s="1" t="s">
        <v>50</v>
      </c>
      <c r="B5" s="2">
        <v>29827</v>
      </c>
      <c r="C5" s="2">
        <v>2150</v>
      </c>
      <c r="D5" s="2">
        <v>566</v>
      </c>
      <c r="E5" s="2">
        <v>26.33</v>
      </c>
      <c r="F5" s="2">
        <v>2126828.75</v>
      </c>
    </row>
    <row r="6" spans="1:6">
      <c r="A6" s="1" t="s">
        <v>50</v>
      </c>
      <c r="B6" s="2">
        <v>29881</v>
      </c>
      <c r="C6" s="2">
        <v>2069</v>
      </c>
      <c r="D6" s="2">
        <v>592</v>
      </c>
      <c r="E6" s="2">
        <v>28.61</v>
      </c>
      <c r="F6" s="2">
        <v>1817288.6</v>
      </c>
    </row>
    <row r="7" spans="1:6">
      <c r="A7" s="1" t="s">
        <v>51</v>
      </c>
      <c r="B7" s="2">
        <v>93280</v>
      </c>
      <c r="C7" s="2">
        <v>2354</v>
      </c>
      <c r="D7" s="2">
        <v>680</v>
      </c>
      <c r="E7" s="2">
        <v>28.89</v>
      </c>
      <c r="F7" s="2">
        <v>1353489.64</v>
      </c>
    </row>
    <row r="8" spans="1:6">
      <c r="A8" s="1" t="s">
        <v>52</v>
      </c>
      <c r="B8" s="2">
        <v>58150</v>
      </c>
      <c r="C8" s="2">
        <v>1160</v>
      </c>
      <c r="D8" s="2">
        <v>320</v>
      </c>
      <c r="E8" s="2">
        <v>27.59</v>
      </c>
      <c r="F8" s="2">
        <v>1235736.02</v>
      </c>
    </row>
    <row r="9" spans="1:6">
      <c r="A9" s="1" t="s">
        <v>53</v>
      </c>
      <c r="B9" s="2">
        <v>77301</v>
      </c>
      <c r="C9" s="2">
        <v>1693</v>
      </c>
      <c r="D9" s="2">
        <v>489</v>
      </c>
      <c r="E9" s="2">
        <v>28.88</v>
      </c>
      <c r="F9" s="2">
        <v>1059818.8600000001</v>
      </c>
    </row>
    <row r="10" spans="1:6">
      <c r="A10" s="1" t="s">
        <v>54</v>
      </c>
      <c r="B10" s="2">
        <v>45378</v>
      </c>
      <c r="C10" s="2">
        <v>2267</v>
      </c>
      <c r="D10" s="2">
        <v>651</v>
      </c>
      <c r="E10" s="2">
        <v>28.72</v>
      </c>
      <c r="F10" s="2">
        <v>867279.15</v>
      </c>
    </row>
    <row r="11" spans="1:6">
      <c r="A11" s="1" t="s">
        <v>53</v>
      </c>
      <c r="B11" s="2">
        <v>96413</v>
      </c>
      <c r="C11" s="2">
        <v>2575</v>
      </c>
      <c r="D11" s="2">
        <v>735</v>
      </c>
      <c r="E11" s="2">
        <v>28.54</v>
      </c>
      <c r="F11" s="2">
        <v>832793.37</v>
      </c>
    </row>
    <row r="12" spans="1:6">
      <c r="A12" s="1" t="s">
        <v>51</v>
      </c>
      <c r="B12" s="2">
        <v>93306</v>
      </c>
      <c r="C12" s="2">
        <v>2442</v>
      </c>
      <c r="D12" s="2">
        <v>663</v>
      </c>
      <c r="E12" s="2">
        <v>27.15</v>
      </c>
      <c r="F12" s="2">
        <v>760747</v>
      </c>
    </row>
    <row r="13" spans="1:6">
      <c r="A13" s="1" t="s">
        <v>55</v>
      </c>
      <c r="B13" s="2">
        <v>99285</v>
      </c>
      <c r="C13" s="2">
        <v>3394</v>
      </c>
      <c r="D13" s="2">
        <v>972</v>
      </c>
      <c r="E13" s="2">
        <v>28.64</v>
      </c>
      <c r="F13" s="2">
        <v>759442.98</v>
      </c>
    </row>
    <row r="14" spans="1:6">
      <c r="A14" s="1" t="s">
        <v>54</v>
      </c>
      <c r="B14" s="2">
        <v>43239</v>
      </c>
      <c r="C14" s="2">
        <v>1456</v>
      </c>
      <c r="D14" s="2">
        <v>402</v>
      </c>
      <c r="E14" s="2">
        <v>27.61</v>
      </c>
      <c r="F14" s="2">
        <v>732727.66</v>
      </c>
    </row>
    <row r="15" spans="1:6">
      <c r="A15" s="1" t="s">
        <v>56</v>
      </c>
      <c r="B15" s="2">
        <v>31623</v>
      </c>
      <c r="C15" s="2">
        <v>1236</v>
      </c>
      <c r="D15" s="2">
        <v>343</v>
      </c>
      <c r="E15" s="2">
        <v>27.75</v>
      </c>
      <c r="F15" s="2">
        <v>708239.95</v>
      </c>
    </row>
    <row r="16" spans="1:6">
      <c r="A16" s="1" t="s">
        <v>55</v>
      </c>
      <c r="B16" s="2">
        <v>99291</v>
      </c>
      <c r="C16" s="2">
        <v>1750</v>
      </c>
      <c r="D16" s="2">
        <v>491</v>
      </c>
      <c r="E16" s="2">
        <v>28.06</v>
      </c>
      <c r="F16" s="2">
        <v>689950.11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847C9-F8BC-3444-BDF9-4D3ED11DE061}">
  <dimension ref="A1:D39"/>
  <sheetViews>
    <sheetView workbookViewId="0">
      <selection activeCell="N23" sqref="N23"/>
    </sheetView>
  </sheetViews>
  <sheetFormatPr baseColWidth="10" defaultRowHeight="16"/>
  <cols>
    <col min="1" max="1" width="20" bestFit="1" customWidth="1"/>
    <col min="2" max="2" width="14.6640625" bestFit="1" customWidth="1"/>
    <col min="3" max="4" width="24.33203125" bestFit="1" customWidth="1"/>
  </cols>
  <sheetData>
    <row r="1" spans="1:4">
      <c r="A1" s="3" t="s">
        <v>94</v>
      </c>
      <c r="B1" t="s">
        <v>70</v>
      </c>
    </row>
    <row r="2" spans="1:4">
      <c r="A2" s="4" t="s">
        <v>50</v>
      </c>
      <c r="B2" s="7">
        <v>10251793.060000001</v>
      </c>
    </row>
    <row r="3" spans="1:4">
      <c r="A3" s="4" t="s">
        <v>51</v>
      </c>
      <c r="B3" s="7">
        <v>5389714.5099999998</v>
      </c>
    </row>
    <row r="4" spans="1:4">
      <c r="A4" s="4" t="s">
        <v>52</v>
      </c>
      <c r="B4" s="7">
        <v>3574853.48</v>
      </c>
    </row>
    <row r="5" spans="1:4">
      <c r="A5" s="4" t="s">
        <v>53</v>
      </c>
      <c r="B5" s="7">
        <v>1892612.23</v>
      </c>
    </row>
    <row r="6" spans="1:4">
      <c r="A6" s="4" t="s">
        <v>54</v>
      </c>
      <c r="B6" s="7">
        <v>1600006.81</v>
      </c>
    </row>
    <row r="7" spans="1:4">
      <c r="A7" s="4" t="s">
        <v>55</v>
      </c>
      <c r="B7" s="7">
        <v>1449393.0899999999</v>
      </c>
    </row>
    <row r="8" spans="1:4">
      <c r="A8" s="4" t="s">
        <v>56</v>
      </c>
      <c r="B8" s="7">
        <v>708239.95</v>
      </c>
    </row>
    <row r="9" spans="1:4">
      <c r="A9" s="4" t="s">
        <v>59</v>
      </c>
      <c r="B9" s="7">
        <v>24866613.129999999</v>
      </c>
    </row>
    <row r="12" spans="1:4">
      <c r="A12" s="3" t="s">
        <v>93</v>
      </c>
      <c r="B12" t="s">
        <v>60</v>
      </c>
      <c r="C12" t="s">
        <v>69</v>
      </c>
      <c r="D12" t="s">
        <v>70</v>
      </c>
    </row>
    <row r="13" spans="1:4">
      <c r="A13" s="4">
        <v>27447</v>
      </c>
      <c r="B13">
        <v>2215</v>
      </c>
      <c r="C13">
        <v>597</v>
      </c>
      <c r="D13" s="7">
        <v>6307675.71</v>
      </c>
    </row>
    <row r="14" spans="1:4">
      <c r="A14" s="4">
        <v>29827</v>
      </c>
      <c r="B14">
        <v>2150</v>
      </c>
      <c r="C14">
        <v>566</v>
      </c>
      <c r="D14" s="7">
        <v>2126828.75</v>
      </c>
    </row>
    <row r="15" spans="1:4">
      <c r="A15" s="4">
        <v>29881</v>
      </c>
      <c r="B15">
        <v>2069</v>
      </c>
      <c r="C15">
        <v>592</v>
      </c>
      <c r="D15" s="7">
        <v>1817288.6</v>
      </c>
    </row>
    <row r="16" spans="1:4">
      <c r="A16" s="4">
        <v>31623</v>
      </c>
      <c r="B16">
        <v>1236</v>
      </c>
      <c r="C16">
        <v>343</v>
      </c>
      <c r="D16" s="7">
        <v>708239.95</v>
      </c>
    </row>
    <row r="17" spans="1:4">
      <c r="A17" s="4">
        <v>43239</v>
      </c>
      <c r="B17">
        <v>1456</v>
      </c>
      <c r="C17">
        <v>402</v>
      </c>
      <c r="D17" s="7">
        <v>732727.66</v>
      </c>
    </row>
    <row r="18" spans="1:4">
      <c r="A18" s="4">
        <v>45378</v>
      </c>
      <c r="B18">
        <v>2267</v>
      </c>
      <c r="C18">
        <v>651</v>
      </c>
      <c r="D18" s="7">
        <v>867279.15</v>
      </c>
    </row>
    <row r="19" spans="1:4">
      <c r="A19" s="4">
        <v>58150</v>
      </c>
      <c r="B19">
        <v>1160</v>
      </c>
      <c r="C19">
        <v>320</v>
      </c>
      <c r="D19" s="7">
        <v>1235736.02</v>
      </c>
    </row>
    <row r="20" spans="1:4">
      <c r="A20" s="4">
        <v>59400</v>
      </c>
      <c r="B20">
        <v>1810</v>
      </c>
      <c r="C20">
        <v>523</v>
      </c>
      <c r="D20" s="7">
        <v>2339117.46</v>
      </c>
    </row>
    <row r="21" spans="1:4">
      <c r="A21" s="4">
        <v>77301</v>
      </c>
      <c r="B21">
        <v>1693</v>
      </c>
      <c r="C21">
        <v>489</v>
      </c>
      <c r="D21" s="7">
        <v>1059818.8600000001</v>
      </c>
    </row>
    <row r="22" spans="1:4">
      <c r="A22" s="4">
        <v>93280</v>
      </c>
      <c r="B22">
        <v>2354</v>
      </c>
      <c r="C22">
        <v>680</v>
      </c>
      <c r="D22" s="7">
        <v>1353489.64</v>
      </c>
    </row>
    <row r="23" spans="1:4">
      <c r="A23" s="4">
        <v>93306</v>
      </c>
      <c r="B23">
        <v>2442</v>
      </c>
      <c r="C23">
        <v>663</v>
      </c>
      <c r="D23" s="7">
        <v>760747</v>
      </c>
    </row>
    <row r="24" spans="1:4">
      <c r="A24" s="4">
        <v>93454</v>
      </c>
      <c r="B24">
        <v>2456</v>
      </c>
      <c r="C24">
        <v>694</v>
      </c>
      <c r="D24" s="7">
        <v>3275477.87</v>
      </c>
    </row>
    <row r="25" spans="1:4">
      <c r="A25" s="4">
        <v>96413</v>
      </c>
      <c r="B25">
        <v>2575</v>
      </c>
      <c r="C25">
        <v>735</v>
      </c>
      <c r="D25" s="7">
        <v>832793.37</v>
      </c>
    </row>
    <row r="26" spans="1:4">
      <c r="A26" s="4">
        <v>99285</v>
      </c>
      <c r="B26">
        <v>3394</v>
      </c>
      <c r="C26">
        <v>972</v>
      </c>
      <c r="D26" s="7">
        <v>759442.98</v>
      </c>
    </row>
    <row r="27" spans="1:4">
      <c r="A27" s="4">
        <v>99291</v>
      </c>
      <c r="B27">
        <v>1750</v>
      </c>
      <c r="C27">
        <v>491</v>
      </c>
      <c r="D27" s="7">
        <v>689950.11</v>
      </c>
    </row>
    <row r="28" spans="1:4">
      <c r="A28" s="4" t="s">
        <v>59</v>
      </c>
      <c r="B28">
        <v>31027</v>
      </c>
      <c r="C28">
        <v>8718</v>
      </c>
      <c r="D28" s="7">
        <v>24866613.130000003</v>
      </c>
    </row>
    <row r="31" spans="1:4">
      <c r="A31" s="3" t="s">
        <v>94</v>
      </c>
      <c r="B31" s="6" t="s">
        <v>71</v>
      </c>
      <c r="C31" t="s">
        <v>70</v>
      </c>
    </row>
    <row r="32" spans="1:4">
      <c r="A32" s="4" t="s">
        <v>51</v>
      </c>
      <c r="B32" s="6">
        <v>280040</v>
      </c>
      <c r="C32" s="7">
        <v>5389714.5099999998</v>
      </c>
    </row>
    <row r="33" spans="1:3">
      <c r="A33" s="4" t="s">
        <v>55</v>
      </c>
      <c r="B33" s="6">
        <v>198576</v>
      </c>
      <c r="C33" s="7">
        <v>1449393.0899999999</v>
      </c>
    </row>
    <row r="34" spans="1:3">
      <c r="A34" s="4" t="s">
        <v>54</v>
      </c>
      <c r="B34" s="6">
        <v>88617</v>
      </c>
      <c r="C34" s="7">
        <v>1600006.81</v>
      </c>
    </row>
    <row r="35" spans="1:3">
      <c r="A35" s="4" t="s">
        <v>52</v>
      </c>
      <c r="B35" s="6">
        <v>117550</v>
      </c>
      <c r="C35" s="7">
        <v>3574853.48</v>
      </c>
    </row>
    <row r="36" spans="1:3">
      <c r="A36" s="4" t="s">
        <v>53</v>
      </c>
      <c r="B36" s="6">
        <v>173714</v>
      </c>
      <c r="C36" s="7">
        <v>1892612.23</v>
      </c>
    </row>
    <row r="37" spans="1:3">
      <c r="A37" s="4" t="s">
        <v>50</v>
      </c>
      <c r="B37" s="6">
        <v>87155</v>
      </c>
      <c r="C37" s="7">
        <v>10251793.060000001</v>
      </c>
    </row>
    <row r="38" spans="1:3">
      <c r="A38" s="4" t="s">
        <v>56</v>
      </c>
      <c r="B38" s="6">
        <v>31623</v>
      </c>
      <c r="C38" s="7">
        <v>708239.95</v>
      </c>
    </row>
    <row r="39" spans="1:3">
      <c r="A39" s="4" t="s">
        <v>59</v>
      </c>
      <c r="B39" s="6">
        <v>977275</v>
      </c>
      <c r="C39" s="7">
        <v>24866613.129999999</v>
      </c>
    </row>
  </sheetData>
  <sortState xmlns:xlrd2="http://schemas.microsoft.com/office/spreadsheetml/2017/richdata2" ref="A1:C9">
    <sortCondition descending="1" ref="C1"/>
  </sortState>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D222A-7019-5549-85DF-0B378F31A994}">
  <dimension ref="A1:I391"/>
  <sheetViews>
    <sheetView topLeftCell="A369" workbookViewId="0">
      <selection activeCell="F40" sqref="F40"/>
    </sheetView>
  </sheetViews>
  <sheetFormatPr baseColWidth="10" defaultRowHeight="16"/>
  <cols>
    <col min="1" max="1" width="12.33203125" customWidth="1"/>
    <col min="2" max="2" width="18.33203125" customWidth="1"/>
    <col min="3" max="3" width="17" customWidth="1"/>
    <col min="4" max="4" width="13.5" customWidth="1"/>
    <col min="5" max="5" width="25.1640625" customWidth="1"/>
    <col min="6" max="6" width="15.6640625" customWidth="1"/>
    <col min="7" max="7" width="32.33203125" customWidth="1"/>
    <col min="8" max="8" width="23.5" customWidth="1"/>
    <col min="9" max="9" width="24.33203125" customWidth="1"/>
  </cols>
  <sheetData>
    <row r="1" spans="1:9">
      <c r="A1" s="1" t="s">
        <v>0</v>
      </c>
      <c r="B1" s="1" t="s">
        <v>45</v>
      </c>
      <c r="C1" s="1" t="s">
        <v>72</v>
      </c>
      <c r="D1" s="1" t="s">
        <v>1</v>
      </c>
      <c r="E1" s="1" t="s">
        <v>73</v>
      </c>
      <c r="F1" s="1" t="s">
        <v>74</v>
      </c>
      <c r="G1" s="1" t="s">
        <v>75</v>
      </c>
      <c r="H1" s="1" t="s">
        <v>15</v>
      </c>
      <c r="I1" s="1" t="s">
        <v>76</v>
      </c>
    </row>
    <row r="2" spans="1:9">
      <c r="A2" s="1" t="s">
        <v>10</v>
      </c>
      <c r="B2" s="2" t="s">
        <v>77</v>
      </c>
      <c r="C2" s="2" t="s">
        <v>78</v>
      </c>
      <c r="D2" s="2">
        <v>26</v>
      </c>
      <c r="E2" s="2">
        <v>5883.83</v>
      </c>
      <c r="F2" s="2">
        <v>14.2</v>
      </c>
      <c r="G2" s="2">
        <v>30</v>
      </c>
      <c r="H2" s="2">
        <v>41.2</v>
      </c>
      <c r="I2" s="2">
        <v>5883.83</v>
      </c>
    </row>
    <row r="3" spans="1:9">
      <c r="A3" s="1" t="s">
        <v>10</v>
      </c>
      <c r="B3" s="2" t="s">
        <v>55</v>
      </c>
      <c r="C3" s="2" t="s">
        <v>78</v>
      </c>
      <c r="D3" s="2">
        <v>31</v>
      </c>
      <c r="E3" s="2">
        <v>6067.32</v>
      </c>
      <c r="F3" s="2">
        <v>13.4</v>
      </c>
      <c r="G3" s="2">
        <v>37.9</v>
      </c>
      <c r="H3" s="2">
        <v>51.7</v>
      </c>
      <c r="I3" s="2">
        <v>11951.15</v>
      </c>
    </row>
    <row r="4" spans="1:9">
      <c r="A4" s="1" t="s">
        <v>10</v>
      </c>
      <c r="B4" s="2" t="s">
        <v>79</v>
      </c>
      <c r="C4" s="2" t="s">
        <v>78</v>
      </c>
      <c r="D4" s="2">
        <v>22</v>
      </c>
      <c r="E4" s="2">
        <v>698.65</v>
      </c>
      <c r="F4" s="2">
        <v>15.3</v>
      </c>
      <c r="G4" s="2">
        <v>33.799999999999997</v>
      </c>
      <c r="H4" s="2">
        <v>32.299999999999997</v>
      </c>
      <c r="I4" s="2">
        <v>12649.8</v>
      </c>
    </row>
    <row r="5" spans="1:9">
      <c r="A5" s="1" t="s">
        <v>10</v>
      </c>
      <c r="B5" s="2" t="s">
        <v>80</v>
      </c>
      <c r="C5" s="2" t="s">
        <v>78</v>
      </c>
      <c r="D5" s="2">
        <v>8</v>
      </c>
      <c r="E5" s="2">
        <v>270.52999999999997</v>
      </c>
      <c r="F5" s="2">
        <v>15</v>
      </c>
      <c r="G5" s="2">
        <v>30.4</v>
      </c>
      <c r="H5" s="2">
        <v>71.3</v>
      </c>
      <c r="I5" s="2">
        <v>12920.33</v>
      </c>
    </row>
    <row r="6" spans="1:9">
      <c r="A6" s="1" t="s">
        <v>10</v>
      </c>
      <c r="B6" s="2" t="s">
        <v>52</v>
      </c>
      <c r="C6" s="2" t="s">
        <v>78</v>
      </c>
      <c r="D6" s="2">
        <v>14</v>
      </c>
      <c r="E6" s="2">
        <v>12056.59</v>
      </c>
      <c r="F6" s="2">
        <v>17.899999999999999</v>
      </c>
      <c r="G6" s="2">
        <v>30.3</v>
      </c>
      <c r="H6" s="2">
        <v>31</v>
      </c>
      <c r="I6" s="2">
        <v>24976.92</v>
      </c>
    </row>
    <row r="7" spans="1:9">
      <c r="A7" s="1" t="s">
        <v>10</v>
      </c>
      <c r="B7" s="2" t="s">
        <v>50</v>
      </c>
      <c r="C7" s="2" t="s">
        <v>78</v>
      </c>
      <c r="D7" s="2">
        <v>17</v>
      </c>
      <c r="E7" s="2">
        <v>8376.1</v>
      </c>
      <c r="F7" s="2">
        <v>11.5</v>
      </c>
      <c r="G7" s="2">
        <v>31.6</v>
      </c>
      <c r="H7" s="2">
        <v>50</v>
      </c>
      <c r="I7" s="2">
        <v>33353.019999999997</v>
      </c>
    </row>
    <row r="8" spans="1:9">
      <c r="A8" s="1" t="s">
        <v>10</v>
      </c>
      <c r="B8" s="2" t="s">
        <v>53</v>
      </c>
      <c r="C8" s="2" t="s">
        <v>78</v>
      </c>
      <c r="D8" s="2">
        <v>19</v>
      </c>
      <c r="E8" s="2">
        <v>10637.82</v>
      </c>
      <c r="F8" s="2">
        <v>17</v>
      </c>
      <c r="G8" s="2">
        <v>25.7</v>
      </c>
      <c r="H8" s="2">
        <v>43.5</v>
      </c>
      <c r="I8" s="2">
        <v>43990.84</v>
      </c>
    </row>
    <row r="9" spans="1:9">
      <c r="A9" s="1" t="s">
        <v>10</v>
      </c>
      <c r="B9" s="2" t="s">
        <v>81</v>
      </c>
      <c r="C9" s="2" t="s">
        <v>78</v>
      </c>
      <c r="D9" s="2">
        <v>7</v>
      </c>
      <c r="E9" s="2">
        <v>194.4</v>
      </c>
      <c r="F9" s="2">
        <v>10</v>
      </c>
      <c r="G9" s="2">
        <v>37.1</v>
      </c>
      <c r="H9" s="2">
        <v>50</v>
      </c>
      <c r="I9" s="2">
        <v>44185.24</v>
      </c>
    </row>
    <row r="10" spans="1:9">
      <c r="A10" s="1" t="s">
        <v>10</v>
      </c>
      <c r="B10" s="2" t="s">
        <v>56</v>
      </c>
      <c r="C10" s="2" t="s">
        <v>78</v>
      </c>
      <c r="D10" s="2">
        <v>13</v>
      </c>
      <c r="E10" s="2">
        <v>398.19</v>
      </c>
      <c r="F10" s="2">
        <v>15.7</v>
      </c>
      <c r="G10" s="2">
        <v>39.9</v>
      </c>
      <c r="H10" s="2">
        <v>56.5</v>
      </c>
      <c r="I10" s="2">
        <v>44583.43</v>
      </c>
    </row>
    <row r="11" spans="1:9">
      <c r="A11" s="1" t="s">
        <v>10</v>
      </c>
      <c r="B11" s="2" t="s">
        <v>82</v>
      </c>
      <c r="C11" s="2" t="s">
        <v>78</v>
      </c>
      <c r="D11" s="2">
        <v>20</v>
      </c>
      <c r="E11" s="2">
        <v>1174.53</v>
      </c>
      <c r="F11" s="2">
        <v>12.8</v>
      </c>
      <c r="G11" s="2">
        <v>30.8</v>
      </c>
      <c r="H11" s="2">
        <v>66</v>
      </c>
      <c r="I11" s="2">
        <v>45757.96</v>
      </c>
    </row>
    <row r="12" spans="1:9">
      <c r="A12" s="1" t="s">
        <v>10</v>
      </c>
      <c r="B12" s="2" t="s">
        <v>54</v>
      </c>
      <c r="C12" s="2" t="s">
        <v>78</v>
      </c>
      <c r="D12" s="2">
        <v>11</v>
      </c>
      <c r="E12" s="2">
        <v>1738.24</v>
      </c>
      <c r="F12" s="2">
        <v>13</v>
      </c>
      <c r="G12" s="2">
        <v>38.299999999999997</v>
      </c>
      <c r="H12" s="2">
        <v>55</v>
      </c>
      <c r="I12" s="2">
        <v>47496.2</v>
      </c>
    </row>
    <row r="13" spans="1:9">
      <c r="A13" s="1" t="s">
        <v>10</v>
      </c>
      <c r="B13" s="2" t="s">
        <v>51</v>
      </c>
      <c r="C13" s="2" t="s">
        <v>78</v>
      </c>
      <c r="D13" s="2">
        <v>21</v>
      </c>
      <c r="E13" s="2">
        <v>15020.19</v>
      </c>
      <c r="F13" s="2">
        <v>12.9</v>
      </c>
      <c r="G13" s="2">
        <v>28.9</v>
      </c>
      <c r="H13" s="2">
        <v>49.7</v>
      </c>
      <c r="I13" s="2">
        <v>62516.39</v>
      </c>
    </row>
    <row r="14" spans="1:9">
      <c r="A14" s="1" t="s">
        <v>10</v>
      </c>
      <c r="B14" s="2" t="s">
        <v>83</v>
      </c>
      <c r="C14" s="2" t="s">
        <v>78</v>
      </c>
      <c r="D14" s="2">
        <v>11</v>
      </c>
      <c r="E14" s="2">
        <v>432.69</v>
      </c>
      <c r="F14" s="2">
        <v>15.2</v>
      </c>
      <c r="G14" s="2">
        <v>32.700000000000003</v>
      </c>
      <c r="H14" s="2">
        <v>52</v>
      </c>
      <c r="I14" s="2">
        <v>62949.08</v>
      </c>
    </row>
    <row r="15" spans="1:9">
      <c r="A15" s="1" t="s">
        <v>10</v>
      </c>
      <c r="B15" s="2" t="s">
        <v>51</v>
      </c>
      <c r="C15" s="2" t="s">
        <v>84</v>
      </c>
      <c r="D15" s="2">
        <v>22</v>
      </c>
      <c r="E15" s="2">
        <v>7446.7</v>
      </c>
      <c r="F15" s="2">
        <v>44.8</v>
      </c>
      <c r="G15" s="2">
        <v>26.6</v>
      </c>
      <c r="H15" s="2">
        <v>54</v>
      </c>
      <c r="I15" s="2">
        <v>70395.78</v>
      </c>
    </row>
    <row r="16" spans="1:9">
      <c r="A16" s="1" t="s">
        <v>10</v>
      </c>
      <c r="B16" s="2" t="s">
        <v>77</v>
      </c>
      <c r="C16" s="2" t="s">
        <v>84</v>
      </c>
      <c r="D16" s="2">
        <v>13</v>
      </c>
      <c r="E16" s="2">
        <v>3293.78</v>
      </c>
      <c r="F16" s="2">
        <v>46.6</v>
      </c>
      <c r="G16" s="2">
        <v>29</v>
      </c>
      <c r="H16" s="2">
        <v>53.3</v>
      </c>
      <c r="I16" s="2">
        <v>73689.56</v>
      </c>
    </row>
    <row r="17" spans="1:9">
      <c r="A17" s="1" t="s">
        <v>10</v>
      </c>
      <c r="B17" s="2" t="s">
        <v>56</v>
      </c>
      <c r="C17" s="2" t="s">
        <v>84</v>
      </c>
      <c r="D17" s="2">
        <v>10</v>
      </c>
      <c r="E17" s="2">
        <v>2641.37</v>
      </c>
      <c r="F17" s="2">
        <v>46.7</v>
      </c>
      <c r="G17" s="2">
        <v>35.700000000000003</v>
      </c>
      <c r="H17" s="2">
        <v>36.799999999999997</v>
      </c>
      <c r="I17" s="2">
        <v>76330.929999999993</v>
      </c>
    </row>
    <row r="18" spans="1:9">
      <c r="A18" s="1" t="s">
        <v>10</v>
      </c>
      <c r="B18" s="2" t="s">
        <v>54</v>
      </c>
      <c r="C18" s="2" t="s">
        <v>84</v>
      </c>
      <c r="D18" s="2">
        <v>12</v>
      </c>
      <c r="E18" s="2">
        <v>12440.85</v>
      </c>
      <c r="F18" s="2">
        <v>48.1</v>
      </c>
      <c r="G18" s="2">
        <v>30.5</v>
      </c>
      <c r="H18" s="2">
        <v>60.5</v>
      </c>
      <c r="I18" s="2">
        <v>88771.78</v>
      </c>
    </row>
    <row r="19" spans="1:9">
      <c r="A19" s="1" t="s">
        <v>10</v>
      </c>
      <c r="B19" s="2" t="s">
        <v>83</v>
      </c>
      <c r="C19" s="2" t="s">
        <v>84</v>
      </c>
      <c r="D19" s="2">
        <v>7</v>
      </c>
      <c r="E19" s="2">
        <v>337.58</v>
      </c>
      <c r="F19" s="2">
        <v>44.4</v>
      </c>
      <c r="G19" s="2">
        <v>35.4</v>
      </c>
      <c r="H19" s="2">
        <v>50.7</v>
      </c>
      <c r="I19" s="2">
        <v>89109.36</v>
      </c>
    </row>
    <row r="20" spans="1:9">
      <c r="A20" s="1" t="s">
        <v>10</v>
      </c>
      <c r="B20" s="2" t="s">
        <v>79</v>
      </c>
      <c r="C20" s="2" t="s">
        <v>84</v>
      </c>
      <c r="D20" s="2">
        <v>16</v>
      </c>
      <c r="E20" s="2">
        <v>394.21</v>
      </c>
      <c r="F20" s="2">
        <v>45.6</v>
      </c>
      <c r="G20" s="2">
        <v>34.6</v>
      </c>
      <c r="H20" s="2">
        <v>38.5</v>
      </c>
      <c r="I20" s="2">
        <v>89503.57</v>
      </c>
    </row>
    <row r="21" spans="1:9">
      <c r="A21" s="1" t="s">
        <v>10</v>
      </c>
      <c r="B21" s="2" t="s">
        <v>81</v>
      </c>
      <c r="C21" s="2" t="s">
        <v>84</v>
      </c>
      <c r="D21" s="2">
        <v>10</v>
      </c>
      <c r="E21" s="2">
        <v>1384.25</v>
      </c>
      <c r="F21" s="2">
        <v>49.4</v>
      </c>
      <c r="G21" s="2">
        <v>34.6</v>
      </c>
      <c r="H21" s="2">
        <v>48.5</v>
      </c>
      <c r="I21" s="2">
        <v>90887.82</v>
      </c>
    </row>
    <row r="22" spans="1:9">
      <c r="A22" s="1" t="s">
        <v>10</v>
      </c>
      <c r="B22" s="2" t="s">
        <v>52</v>
      </c>
      <c r="C22" s="2" t="s">
        <v>84</v>
      </c>
      <c r="D22" s="2">
        <v>9</v>
      </c>
      <c r="E22" s="2">
        <v>5509.61</v>
      </c>
      <c r="F22" s="2">
        <v>50.2</v>
      </c>
      <c r="G22" s="2">
        <v>29.7</v>
      </c>
      <c r="H22" s="2">
        <v>38.5</v>
      </c>
      <c r="I22" s="2">
        <v>96397.43</v>
      </c>
    </row>
    <row r="23" spans="1:9">
      <c r="A23" s="1" t="s">
        <v>10</v>
      </c>
      <c r="B23" s="2" t="s">
        <v>50</v>
      </c>
      <c r="C23" s="2" t="s">
        <v>84</v>
      </c>
      <c r="D23" s="2">
        <v>10</v>
      </c>
      <c r="E23" s="2">
        <v>15868.29</v>
      </c>
      <c r="F23" s="2">
        <v>46.7</v>
      </c>
      <c r="G23" s="2">
        <v>32.4</v>
      </c>
      <c r="H23" s="2">
        <v>51.7</v>
      </c>
      <c r="I23" s="2">
        <v>112265.72</v>
      </c>
    </row>
    <row r="24" spans="1:9">
      <c r="A24" s="1" t="s">
        <v>10</v>
      </c>
      <c r="B24" s="2" t="s">
        <v>80</v>
      </c>
      <c r="C24" s="2" t="s">
        <v>84</v>
      </c>
      <c r="D24" s="2">
        <v>10</v>
      </c>
      <c r="E24" s="2">
        <v>0</v>
      </c>
      <c r="F24" s="2">
        <v>43.9</v>
      </c>
      <c r="G24" s="2">
        <v>25.2</v>
      </c>
      <c r="H24" s="8"/>
      <c r="I24" s="2">
        <v>112265.72</v>
      </c>
    </row>
    <row r="25" spans="1:9">
      <c r="A25" s="1" t="s">
        <v>10</v>
      </c>
      <c r="B25" s="2" t="s">
        <v>55</v>
      </c>
      <c r="C25" s="2" t="s">
        <v>84</v>
      </c>
      <c r="D25" s="2">
        <v>33</v>
      </c>
      <c r="E25" s="2">
        <v>2188.35</v>
      </c>
      <c r="F25" s="2">
        <v>46.6</v>
      </c>
      <c r="G25" s="2">
        <v>38.9</v>
      </c>
      <c r="H25" s="2">
        <v>46.5</v>
      </c>
      <c r="I25" s="2">
        <v>114454.07</v>
      </c>
    </row>
    <row r="26" spans="1:9">
      <c r="A26" s="1" t="s">
        <v>10</v>
      </c>
      <c r="B26" s="2" t="s">
        <v>53</v>
      </c>
      <c r="C26" s="2" t="s">
        <v>84</v>
      </c>
      <c r="D26" s="2">
        <v>18</v>
      </c>
      <c r="E26" s="2">
        <v>8165.58</v>
      </c>
      <c r="F26" s="2">
        <v>49.5</v>
      </c>
      <c r="G26" s="2">
        <v>27.3</v>
      </c>
      <c r="H26" s="2">
        <v>50.1</v>
      </c>
      <c r="I26" s="2">
        <v>122619.65</v>
      </c>
    </row>
    <row r="27" spans="1:9">
      <c r="A27" s="1" t="s">
        <v>10</v>
      </c>
      <c r="B27" s="2" t="s">
        <v>82</v>
      </c>
      <c r="C27" s="2" t="s">
        <v>84</v>
      </c>
      <c r="D27" s="2">
        <v>23</v>
      </c>
      <c r="E27" s="2">
        <v>621.19000000000005</v>
      </c>
      <c r="F27" s="2">
        <v>42.9</v>
      </c>
      <c r="G27" s="2">
        <v>26.7</v>
      </c>
      <c r="H27" s="2">
        <v>40.299999999999997</v>
      </c>
      <c r="I27" s="2">
        <v>123240.84</v>
      </c>
    </row>
    <row r="28" spans="1:9">
      <c r="A28" s="1" t="s">
        <v>10</v>
      </c>
      <c r="B28" s="2" t="s">
        <v>53</v>
      </c>
      <c r="C28" s="2" t="s">
        <v>85</v>
      </c>
      <c r="D28" s="2">
        <v>13</v>
      </c>
      <c r="E28" s="2">
        <v>717.46</v>
      </c>
      <c r="F28" s="2">
        <v>74.2</v>
      </c>
      <c r="G28" s="2">
        <v>25.2</v>
      </c>
      <c r="H28" s="2">
        <v>18</v>
      </c>
      <c r="I28" s="2">
        <v>130286.33</v>
      </c>
    </row>
    <row r="29" spans="1:9">
      <c r="A29" s="1" t="s">
        <v>10</v>
      </c>
      <c r="B29" s="2" t="s">
        <v>77</v>
      </c>
      <c r="C29" s="2" t="s">
        <v>85</v>
      </c>
      <c r="D29" s="2">
        <v>13</v>
      </c>
      <c r="E29" s="2">
        <v>0</v>
      </c>
      <c r="F29" s="2">
        <v>72.8</v>
      </c>
      <c r="G29" s="2">
        <v>30.6</v>
      </c>
      <c r="H29" s="2">
        <v>0</v>
      </c>
      <c r="I29" s="2">
        <v>125766.2</v>
      </c>
    </row>
    <row r="30" spans="1:9">
      <c r="A30" s="1" t="s">
        <v>10</v>
      </c>
      <c r="B30" s="2" t="s">
        <v>79</v>
      </c>
      <c r="C30" s="2" t="s">
        <v>85</v>
      </c>
      <c r="D30" s="2">
        <v>18</v>
      </c>
      <c r="E30" s="2">
        <v>518.08000000000004</v>
      </c>
      <c r="F30" s="2">
        <v>76.8</v>
      </c>
      <c r="G30" s="2">
        <v>33.9</v>
      </c>
      <c r="H30" s="2">
        <v>63.3</v>
      </c>
      <c r="I30" s="2">
        <v>126284.28</v>
      </c>
    </row>
    <row r="31" spans="1:9">
      <c r="A31" s="1" t="s">
        <v>10</v>
      </c>
      <c r="B31" s="2" t="s">
        <v>80</v>
      </c>
      <c r="C31" s="2" t="s">
        <v>85</v>
      </c>
      <c r="D31" s="2">
        <v>6</v>
      </c>
      <c r="E31" s="2">
        <v>148.24</v>
      </c>
      <c r="F31" s="2">
        <v>76.5</v>
      </c>
      <c r="G31" s="2">
        <v>28.7</v>
      </c>
      <c r="H31" s="2">
        <v>51</v>
      </c>
      <c r="I31" s="2">
        <v>126432.52</v>
      </c>
    </row>
    <row r="32" spans="1:9">
      <c r="A32" s="1" t="s">
        <v>10</v>
      </c>
      <c r="B32" s="2" t="s">
        <v>81</v>
      </c>
      <c r="C32" s="2" t="s">
        <v>85</v>
      </c>
      <c r="D32" s="2">
        <v>13</v>
      </c>
      <c r="E32" s="2">
        <v>1540.68</v>
      </c>
      <c r="F32" s="2">
        <v>78.2</v>
      </c>
      <c r="G32" s="2">
        <v>33.200000000000003</v>
      </c>
      <c r="H32" s="2">
        <v>84</v>
      </c>
      <c r="I32" s="2">
        <v>127973.2</v>
      </c>
    </row>
    <row r="33" spans="1:9">
      <c r="A33" s="1" t="s">
        <v>10</v>
      </c>
      <c r="B33" s="2" t="s">
        <v>82</v>
      </c>
      <c r="C33" s="2" t="s">
        <v>85</v>
      </c>
      <c r="D33" s="2">
        <v>27</v>
      </c>
      <c r="E33" s="2">
        <v>1595.67</v>
      </c>
      <c r="F33" s="2">
        <v>78.099999999999994</v>
      </c>
      <c r="G33" s="2">
        <v>34.700000000000003</v>
      </c>
      <c r="H33" s="2">
        <v>46.4</v>
      </c>
      <c r="I33" s="2">
        <v>129568.87</v>
      </c>
    </row>
    <row r="34" spans="1:9">
      <c r="A34" s="1" t="s">
        <v>10</v>
      </c>
      <c r="B34" s="2" t="s">
        <v>55</v>
      </c>
      <c r="C34" s="2" t="s">
        <v>85</v>
      </c>
      <c r="D34" s="2">
        <v>27</v>
      </c>
      <c r="E34" s="2">
        <v>2525.36</v>
      </c>
      <c r="F34" s="2">
        <v>77.7</v>
      </c>
      <c r="G34" s="2">
        <v>40.5</v>
      </c>
      <c r="H34" s="2">
        <v>40.9</v>
      </c>
      <c r="I34" s="2">
        <v>125766.2</v>
      </c>
    </row>
    <row r="35" spans="1:9">
      <c r="A35" s="1" t="s">
        <v>10</v>
      </c>
      <c r="B35" s="2" t="s">
        <v>54</v>
      </c>
      <c r="C35" s="2" t="s">
        <v>85</v>
      </c>
      <c r="D35" s="2">
        <v>12</v>
      </c>
      <c r="E35" s="2">
        <v>7030.29</v>
      </c>
      <c r="F35" s="2">
        <v>75.2</v>
      </c>
      <c r="G35" s="2">
        <v>33.299999999999997</v>
      </c>
      <c r="H35" s="2">
        <v>42.4</v>
      </c>
      <c r="I35" s="2">
        <v>137316.62</v>
      </c>
    </row>
    <row r="36" spans="1:9">
      <c r="A36" s="1" t="s">
        <v>10</v>
      </c>
      <c r="B36" s="2" t="s">
        <v>52</v>
      </c>
      <c r="C36" s="2" t="s">
        <v>85</v>
      </c>
      <c r="D36" s="2">
        <v>9</v>
      </c>
      <c r="E36" s="2">
        <v>0</v>
      </c>
      <c r="F36" s="2">
        <v>73.900000000000006</v>
      </c>
      <c r="G36" s="2">
        <v>27.7</v>
      </c>
      <c r="H36" s="2">
        <v>0</v>
      </c>
      <c r="I36" s="2">
        <v>137316.62</v>
      </c>
    </row>
    <row r="37" spans="1:9">
      <c r="A37" s="1" t="s">
        <v>10</v>
      </c>
      <c r="B37" s="2" t="s">
        <v>83</v>
      </c>
      <c r="C37" s="2" t="s">
        <v>85</v>
      </c>
      <c r="D37" s="2">
        <v>14</v>
      </c>
      <c r="E37" s="2">
        <v>394.62</v>
      </c>
      <c r="F37" s="2">
        <v>80</v>
      </c>
      <c r="G37" s="2">
        <v>31.4</v>
      </c>
      <c r="H37" s="2">
        <v>38.5</v>
      </c>
      <c r="I37" s="2">
        <v>137711.24</v>
      </c>
    </row>
    <row r="38" spans="1:9">
      <c r="A38" s="1" t="s">
        <v>10</v>
      </c>
      <c r="B38" s="2" t="s">
        <v>51</v>
      </c>
      <c r="C38" s="2" t="s">
        <v>85</v>
      </c>
      <c r="D38" s="2">
        <v>13</v>
      </c>
      <c r="E38" s="2">
        <v>10600.76</v>
      </c>
      <c r="F38" s="2">
        <v>72</v>
      </c>
      <c r="G38" s="2">
        <v>27.2</v>
      </c>
      <c r="H38" s="2">
        <v>53</v>
      </c>
      <c r="I38" s="2">
        <v>148312</v>
      </c>
    </row>
    <row r="39" spans="1:9">
      <c r="A39" s="1" t="s">
        <v>10</v>
      </c>
      <c r="B39" s="2" t="s">
        <v>56</v>
      </c>
      <c r="C39" s="2" t="s">
        <v>85</v>
      </c>
      <c r="D39" s="2">
        <v>7</v>
      </c>
      <c r="E39" s="2">
        <v>1843.81</v>
      </c>
      <c r="F39" s="2">
        <v>69.599999999999994</v>
      </c>
      <c r="G39" s="2">
        <v>33.700000000000003</v>
      </c>
      <c r="H39" s="2">
        <v>49</v>
      </c>
      <c r="I39" s="2">
        <v>150155.81</v>
      </c>
    </row>
    <row r="40" spans="1:9">
      <c r="A40" s="1" t="s">
        <v>10</v>
      </c>
      <c r="B40" s="2" t="s">
        <v>50</v>
      </c>
      <c r="C40" s="2" t="s">
        <v>85</v>
      </c>
      <c r="D40" s="2">
        <v>20</v>
      </c>
      <c r="E40" s="2">
        <v>17863.810000000001</v>
      </c>
      <c r="F40" s="2">
        <v>76.2</v>
      </c>
      <c r="G40" s="2">
        <v>31.9</v>
      </c>
      <c r="H40" s="2">
        <v>41.8</v>
      </c>
      <c r="I40" s="2">
        <v>168019.62</v>
      </c>
    </row>
    <row r="41" spans="1:9">
      <c r="A41" s="1" t="s">
        <v>10</v>
      </c>
      <c r="B41" s="2" t="s">
        <v>80</v>
      </c>
      <c r="C41" s="2" t="s">
        <v>86</v>
      </c>
      <c r="D41" s="2">
        <v>10</v>
      </c>
      <c r="E41" s="2">
        <v>0</v>
      </c>
      <c r="F41" s="2">
        <v>104.7</v>
      </c>
      <c r="G41" s="2">
        <v>29.5</v>
      </c>
      <c r="H41" s="2">
        <v>0</v>
      </c>
      <c r="I41" s="2">
        <v>217051.67</v>
      </c>
    </row>
    <row r="42" spans="1:9">
      <c r="A42" s="1" t="s">
        <v>10</v>
      </c>
      <c r="B42" s="2" t="s">
        <v>77</v>
      </c>
      <c r="C42" s="2" t="s">
        <v>86</v>
      </c>
      <c r="D42" s="2">
        <v>12</v>
      </c>
      <c r="E42" s="2">
        <v>2673.27</v>
      </c>
      <c r="F42" s="2">
        <v>107.5</v>
      </c>
      <c r="G42" s="2">
        <v>33.799999999999997</v>
      </c>
      <c r="H42" s="2">
        <v>43</v>
      </c>
      <c r="I42" s="2">
        <v>171372.71</v>
      </c>
    </row>
    <row r="43" spans="1:9">
      <c r="A43" s="1" t="s">
        <v>10</v>
      </c>
      <c r="B43" s="2" t="s">
        <v>51</v>
      </c>
      <c r="C43" s="2" t="s">
        <v>86</v>
      </c>
      <c r="D43" s="2">
        <v>25</v>
      </c>
      <c r="E43" s="2">
        <v>11380.61</v>
      </c>
      <c r="F43" s="2">
        <v>103.7</v>
      </c>
      <c r="G43" s="2">
        <v>29.4</v>
      </c>
      <c r="H43" s="2">
        <v>31.7</v>
      </c>
      <c r="I43" s="2">
        <v>182753.32</v>
      </c>
    </row>
    <row r="44" spans="1:9">
      <c r="A44" s="1" t="s">
        <v>10</v>
      </c>
      <c r="B44" s="2" t="s">
        <v>54</v>
      </c>
      <c r="C44" s="2" t="s">
        <v>86</v>
      </c>
      <c r="D44" s="2">
        <v>11</v>
      </c>
      <c r="E44" s="2">
        <v>8400.74</v>
      </c>
      <c r="F44" s="2">
        <v>107.6</v>
      </c>
      <c r="G44" s="2">
        <v>32.799999999999997</v>
      </c>
      <c r="H44" s="2">
        <v>41.6</v>
      </c>
      <c r="I44" s="2">
        <v>191154.06</v>
      </c>
    </row>
    <row r="45" spans="1:9">
      <c r="A45" s="1" t="s">
        <v>10</v>
      </c>
      <c r="B45" s="2" t="s">
        <v>83</v>
      </c>
      <c r="C45" s="2" t="s">
        <v>86</v>
      </c>
      <c r="D45" s="2">
        <v>19</v>
      </c>
      <c r="E45" s="2">
        <v>523.16999999999996</v>
      </c>
      <c r="F45" s="2">
        <v>107.5</v>
      </c>
      <c r="G45" s="2">
        <v>32.9</v>
      </c>
      <c r="H45" s="2">
        <v>42.5</v>
      </c>
      <c r="I45" s="2">
        <v>191677.23</v>
      </c>
    </row>
    <row r="46" spans="1:9">
      <c r="A46" s="1" t="s">
        <v>10</v>
      </c>
      <c r="B46" s="2" t="s">
        <v>50</v>
      </c>
      <c r="C46" s="2" t="s">
        <v>86</v>
      </c>
      <c r="D46" s="2">
        <v>14</v>
      </c>
      <c r="E46" s="2">
        <v>24740.75</v>
      </c>
      <c r="F46" s="2">
        <v>107.8</v>
      </c>
      <c r="G46" s="2">
        <v>31.9</v>
      </c>
      <c r="H46" s="2">
        <v>53.3</v>
      </c>
      <c r="I46" s="2">
        <v>216417.98</v>
      </c>
    </row>
    <row r="47" spans="1:9">
      <c r="A47" s="1" t="s">
        <v>10</v>
      </c>
      <c r="B47" s="2" t="s">
        <v>79</v>
      </c>
      <c r="C47" s="2" t="s">
        <v>86</v>
      </c>
      <c r="D47" s="2">
        <v>14</v>
      </c>
      <c r="E47" s="2">
        <v>633.69000000000005</v>
      </c>
      <c r="F47" s="2">
        <v>103.5</v>
      </c>
      <c r="G47" s="2">
        <v>35.200000000000003</v>
      </c>
      <c r="H47" s="2">
        <v>39</v>
      </c>
      <c r="I47" s="2">
        <v>217051.67</v>
      </c>
    </row>
    <row r="48" spans="1:9">
      <c r="A48" s="1" t="s">
        <v>10</v>
      </c>
      <c r="B48" s="2" t="s">
        <v>56</v>
      </c>
      <c r="C48" s="2" t="s">
        <v>86</v>
      </c>
      <c r="D48" s="2">
        <v>10</v>
      </c>
      <c r="E48" s="2">
        <v>679.82</v>
      </c>
      <c r="F48" s="2">
        <v>108.1</v>
      </c>
      <c r="G48" s="2">
        <v>38.299999999999997</v>
      </c>
      <c r="H48" s="2">
        <v>52.8</v>
      </c>
      <c r="I48" s="2">
        <v>168699.44</v>
      </c>
    </row>
    <row r="49" spans="1:9">
      <c r="A49" s="1" t="s">
        <v>10</v>
      </c>
      <c r="B49" s="2" t="s">
        <v>55</v>
      </c>
      <c r="C49" s="2" t="s">
        <v>86</v>
      </c>
      <c r="D49" s="2">
        <v>30</v>
      </c>
      <c r="E49" s="2">
        <v>8149.22</v>
      </c>
      <c r="F49" s="2">
        <v>105.3</v>
      </c>
      <c r="G49" s="2">
        <v>40.4</v>
      </c>
      <c r="H49" s="2">
        <v>48.1</v>
      </c>
      <c r="I49" s="2">
        <v>225200.89</v>
      </c>
    </row>
    <row r="50" spans="1:9">
      <c r="A50" s="1" t="s">
        <v>10</v>
      </c>
      <c r="B50" s="2" t="s">
        <v>81</v>
      </c>
      <c r="C50" s="2" t="s">
        <v>86</v>
      </c>
      <c r="D50" s="2">
        <v>21</v>
      </c>
      <c r="E50" s="2">
        <v>3641.61</v>
      </c>
      <c r="F50" s="2">
        <v>110.7</v>
      </c>
      <c r="G50" s="2">
        <v>34</v>
      </c>
      <c r="H50" s="2">
        <v>52.1</v>
      </c>
      <c r="I50" s="2">
        <v>228842.5</v>
      </c>
    </row>
    <row r="51" spans="1:9">
      <c r="A51" s="1" t="s">
        <v>10</v>
      </c>
      <c r="B51" s="2" t="s">
        <v>53</v>
      </c>
      <c r="C51" s="2" t="s">
        <v>86</v>
      </c>
      <c r="D51" s="2">
        <v>6</v>
      </c>
      <c r="E51" s="2">
        <v>0</v>
      </c>
      <c r="F51" s="2">
        <v>106.2</v>
      </c>
      <c r="G51" s="2">
        <v>30.2</v>
      </c>
      <c r="H51" s="2">
        <v>0</v>
      </c>
      <c r="I51" s="2">
        <v>228842.5</v>
      </c>
    </row>
    <row r="52" spans="1:9">
      <c r="A52" s="1" t="s">
        <v>10</v>
      </c>
      <c r="B52" s="2" t="s">
        <v>82</v>
      </c>
      <c r="C52" s="2" t="s">
        <v>86</v>
      </c>
      <c r="D52" s="2">
        <v>25</v>
      </c>
      <c r="E52" s="2">
        <v>782.1</v>
      </c>
      <c r="F52" s="2">
        <v>107.3</v>
      </c>
      <c r="G52" s="2">
        <v>26.9</v>
      </c>
      <c r="H52" s="2">
        <v>69</v>
      </c>
      <c r="I52" s="2">
        <v>229624.6</v>
      </c>
    </row>
    <row r="53" spans="1:9">
      <c r="A53" s="1" t="s">
        <v>10</v>
      </c>
      <c r="B53" s="2" t="s">
        <v>52</v>
      </c>
      <c r="C53" s="2" t="s">
        <v>86</v>
      </c>
      <c r="D53" s="2">
        <v>6</v>
      </c>
      <c r="E53" s="2">
        <v>3885.61</v>
      </c>
      <c r="F53" s="2">
        <v>104.2</v>
      </c>
      <c r="G53" s="2">
        <v>30</v>
      </c>
      <c r="H53" s="2">
        <v>49</v>
      </c>
      <c r="I53" s="2">
        <v>233510.21</v>
      </c>
    </row>
    <row r="54" spans="1:9">
      <c r="A54" s="1" t="s">
        <v>10</v>
      </c>
      <c r="B54" s="2" t="s">
        <v>80</v>
      </c>
      <c r="C54" s="2" t="s">
        <v>87</v>
      </c>
      <c r="D54" s="2">
        <v>398</v>
      </c>
      <c r="E54" s="2">
        <v>9266.07</v>
      </c>
      <c r="F54" s="2">
        <v>675.6</v>
      </c>
      <c r="G54" s="2">
        <v>28.2</v>
      </c>
      <c r="H54" s="2">
        <v>49.8</v>
      </c>
      <c r="I54" s="2">
        <v>242776.28</v>
      </c>
    </row>
    <row r="55" spans="1:9">
      <c r="A55" s="1" t="s">
        <v>10</v>
      </c>
      <c r="B55" s="2" t="s">
        <v>52</v>
      </c>
      <c r="C55" s="2" t="s">
        <v>87</v>
      </c>
      <c r="D55" s="2">
        <v>394</v>
      </c>
      <c r="E55" s="2">
        <v>241923.18</v>
      </c>
      <c r="F55" s="2">
        <v>682.6</v>
      </c>
      <c r="G55" s="2">
        <v>30.1</v>
      </c>
      <c r="H55" s="2">
        <v>50.5</v>
      </c>
      <c r="I55" s="2">
        <v>484699.46</v>
      </c>
    </row>
    <row r="56" spans="1:9">
      <c r="A56" s="1" t="s">
        <v>10</v>
      </c>
      <c r="B56" s="2" t="s">
        <v>79</v>
      </c>
      <c r="C56" s="2" t="s">
        <v>87</v>
      </c>
      <c r="D56" s="2">
        <v>597</v>
      </c>
      <c r="E56" s="2">
        <v>24450.880000000001</v>
      </c>
      <c r="F56" s="2">
        <v>705.3</v>
      </c>
      <c r="G56" s="2">
        <v>34.299999999999997</v>
      </c>
      <c r="H56" s="2">
        <v>46.8</v>
      </c>
      <c r="I56" s="2">
        <v>509150.34</v>
      </c>
    </row>
    <row r="57" spans="1:9">
      <c r="A57" s="1" t="s">
        <v>10</v>
      </c>
      <c r="B57" s="2" t="s">
        <v>82</v>
      </c>
      <c r="C57" s="2" t="s">
        <v>87</v>
      </c>
      <c r="D57" s="2">
        <v>922</v>
      </c>
      <c r="E57" s="2">
        <v>39936.86</v>
      </c>
      <c r="F57" s="2">
        <v>687.1</v>
      </c>
      <c r="G57" s="2">
        <v>32.299999999999997</v>
      </c>
      <c r="H57" s="2">
        <v>49.1</v>
      </c>
      <c r="I57" s="2">
        <v>549087.19999999995</v>
      </c>
    </row>
    <row r="58" spans="1:9">
      <c r="A58" s="1" t="s">
        <v>10</v>
      </c>
      <c r="B58" s="2" t="s">
        <v>50</v>
      </c>
      <c r="C58" s="2" t="s">
        <v>87</v>
      </c>
      <c r="D58" s="2">
        <v>731</v>
      </c>
      <c r="E58" s="2">
        <v>831460.8</v>
      </c>
      <c r="F58" s="2">
        <v>679.3</v>
      </c>
      <c r="G58" s="2">
        <v>31.7</v>
      </c>
      <c r="H58" s="2">
        <v>47.5</v>
      </c>
      <c r="I58" s="2">
        <v>1380548</v>
      </c>
    </row>
    <row r="59" spans="1:9">
      <c r="A59" s="1" t="s">
        <v>10</v>
      </c>
      <c r="B59" s="2" t="s">
        <v>54</v>
      </c>
      <c r="C59" s="2" t="s">
        <v>87</v>
      </c>
      <c r="D59" s="2">
        <v>458</v>
      </c>
      <c r="E59" s="2">
        <v>178166.54</v>
      </c>
      <c r="F59" s="2">
        <v>682.7</v>
      </c>
      <c r="G59" s="2">
        <v>33</v>
      </c>
      <c r="H59" s="2">
        <v>48.1</v>
      </c>
      <c r="I59" s="2">
        <v>1558714.54</v>
      </c>
    </row>
    <row r="60" spans="1:9">
      <c r="A60" s="1" t="s">
        <v>10</v>
      </c>
      <c r="B60" s="2" t="s">
        <v>51</v>
      </c>
      <c r="C60" s="2" t="s">
        <v>87</v>
      </c>
      <c r="D60" s="2">
        <v>813</v>
      </c>
      <c r="E60" s="2">
        <v>343092.12</v>
      </c>
      <c r="F60" s="2">
        <v>699.3</v>
      </c>
      <c r="G60" s="2">
        <v>29.8</v>
      </c>
      <c r="H60" s="2">
        <v>48.3</v>
      </c>
      <c r="I60" s="2">
        <v>1901806.66</v>
      </c>
    </row>
    <row r="61" spans="1:9">
      <c r="A61" s="1" t="s">
        <v>10</v>
      </c>
      <c r="B61" s="2" t="s">
        <v>83</v>
      </c>
      <c r="C61" s="2" t="s">
        <v>87</v>
      </c>
      <c r="D61" s="2">
        <v>464</v>
      </c>
      <c r="E61" s="2">
        <v>18803.88</v>
      </c>
      <c r="F61" s="2">
        <v>724.8</v>
      </c>
      <c r="G61" s="2">
        <v>34.1</v>
      </c>
      <c r="H61" s="2">
        <v>46.9</v>
      </c>
      <c r="I61" s="2">
        <v>1920610.54</v>
      </c>
    </row>
    <row r="62" spans="1:9">
      <c r="A62" s="1" t="s">
        <v>10</v>
      </c>
      <c r="B62" s="2" t="s">
        <v>55</v>
      </c>
      <c r="C62" s="2" t="s">
        <v>87</v>
      </c>
      <c r="D62" s="2">
        <v>1021</v>
      </c>
      <c r="E62" s="2">
        <v>199468.29</v>
      </c>
      <c r="F62" s="2">
        <v>717.2</v>
      </c>
      <c r="G62" s="2">
        <v>39.1</v>
      </c>
      <c r="H62" s="2">
        <v>46.8</v>
      </c>
      <c r="I62" s="2">
        <v>2120078.83</v>
      </c>
    </row>
    <row r="63" spans="1:9">
      <c r="A63" s="1" t="s">
        <v>10</v>
      </c>
      <c r="B63" s="2" t="s">
        <v>56</v>
      </c>
      <c r="C63" s="2" t="s">
        <v>87</v>
      </c>
      <c r="D63" s="2">
        <v>376</v>
      </c>
      <c r="E63" s="2">
        <v>73109.820000000007</v>
      </c>
      <c r="F63" s="2">
        <v>697.4</v>
      </c>
      <c r="G63" s="2">
        <v>37.700000000000003</v>
      </c>
      <c r="H63" s="2">
        <v>47.9</v>
      </c>
      <c r="I63" s="2">
        <v>2193188.65</v>
      </c>
    </row>
    <row r="64" spans="1:9">
      <c r="A64" s="1" t="s">
        <v>10</v>
      </c>
      <c r="B64" s="2" t="s">
        <v>53</v>
      </c>
      <c r="C64" s="2" t="s">
        <v>87</v>
      </c>
      <c r="D64" s="2">
        <v>528</v>
      </c>
      <c r="E64" s="2">
        <v>210643.56</v>
      </c>
      <c r="F64" s="2">
        <v>707.8</v>
      </c>
      <c r="G64" s="2">
        <v>28.9</v>
      </c>
      <c r="H64" s="2">
        <v>46.5</v>
      </c>
      <c r="I64" s="2">
        <v>2403832.21</v>
      </c>
    </row>
    <row r="65" spans="1:9">
      <c r="A65" s="1" t="s">
        <v>10</v>
      </c>
      <c r="B65" s="2" t="s">
        <v>81</v>
      </c>
      <c r="C65" s="2" t="s">
        <v>87</v>
      </c>
      <c r="D65" s="2">
        <v>428</v>
      </c>
      <c r="E65" s="2">
        <v>82880.820000000007</v>
      </c>
      <c r="F65" s="2">
        <v>695.5</v>
      </c>
      <c r="G65" s="2">
        <v>32.200000000000003</v>
      </c>
      <c r="H65" s="2">
        <v>50</v>
      </c>
      <c r="I65" s="2">
        <v>2486713.0299999998</v>
      </c>
    </row>
    <row r="66" spans="1:9">
      <c r="A66" s="1" t="s">
        <v>10</v>
      </c>
      <c r="B66" s="2" t="s">
        <v>77</v>
      </c>
      <c r="C66" s="2" t="s">
        <v>87</v>
      </c>
      <c r="D66" s="2">
        <v>534</v>
      </c>
      <c r="E66" s="2">
        <v>153455.31</v>
      </c>
      <c r="F66" s="2">
        <v>688.3</v>
      </c>
      <c r="G66" s="2">
        <v>29.7</v>
      </c>
      <c r="H66" s="2">
        <v>48.3</v>
      </c>
      <c r="I66" s="2">
        <v>2640168.34</v>
      </c>
    </row>
    <row r="67" spans="1:9">
      <c r="A67" s="1" t="s">
        <v>8</v>
      </c>
      <c r="B67" s="2" t="s">
        <v>80</v>
      </c>
      <c r="C67" s="2" t="s">
        <v>78</v>
      </c>
      <c r="D67" s="2">
        <v>16</v>
      </c>
      <c r="E67" s="2">
        <v>411.82</v>
      </c>
      <c r="F67" s="2">
        <v>17.8</v>
      </c>
      <c r="G67" s="2">
        <v>32.799999999999997</v>
      </c>
      <c r="H67" s="2">
        <v>53.8</v>
      </c>
      <c r="I67" s="2">
        <v>411.82</v>
      </c>
    </row>
    <row r="68" spans="1:9">
      <c r="A68" s="1" t="s">
        <v>8</v>
      </c>
      <c r="B68" s="2" t="s">
        <v>55</v>
      </c>
      <c r="C68" s="2" t="s">
        <v>78</v>
      </c>
      <c r="D68" s="2">
        <v>43</v>
      </c>
      <c r="E68" s="2">
        <v>6621.57</v>
      </c>
      <c r="F68" s="2">
        <v>15.4</v>
      </c>
      <c r="G68" s="2">
        <v>28</v>
      </c>
      <c r="H68" s="2">
        <v>53.5</v>
      </c>
      <c r="I68" s="2">
        <v>7033.39</v>
      </c>
    </row>
    <row r="69" spans="1:9">
      <c r="A69" s="1" t="s">
        <v>8</v>
      </c>
      <c r="B69" s="2" t="s">
        <v>51</v>
      </c>
      <c r="C69" s="2" t="s">
        <v>78</v>
      </c>
      <c r="D69" s="2">
        <v>35</v>
      </c>
      <c r="E69" s="2">
        <v>18970.62</v>
      </c>
      <c r="F69" s="2">
        <v>15.5</v>
      </c>
      <c r="G69" s="2">
        <v>21.9</v>
      </c>
      <c r="H69" s="2">
        <v>49.3</v>
      </c>
      <c r="I69" s="2">
        <v>26004.01</v>
      </c>
    </row>
    <row r="70" spans="1:9">
      <c r="A70" s="1" t="s">
        <v>8</v>
      </c>
      <c r="B70" s="2" t="s">
        <v>56</v>
      </c>
      <c r="C70" s="2" t="s">
        <v>78</v>
      </c>
      <c r="D70" s="2">
        <v>19</v>
      </c>
      <c r="E70" s="2">
        <v>4563.2299999999996</v>
      </c>
      <c r="F70" s="2">
        <v>13.9</v>
      </c>
      <c r="G70" s="2">
        <v>21</v>
      </c>
      <c r="H70" s="2">
        <v>44.8</v>
      </c>
      <c r="I70" s="2">
        <v>30567.24</v>
      </c>
    </row>
    <row r="71" spans="1:9">
      <c r="A71" s="1" t="s">
        <v>8</v>
      </c>
      <c r="B71" s="2" t="s">
        <v>53</v>
      </c>
      <c r="C71" s="2" t="s">
        <v>78</v>
      </c>
      <c r="D71" s="2">
        <v>25</v>
      </c>
      <c r="E71" s="2">
        <v>828.23</v>
      </c>
      <c r="F71" s="2">
        <v>16.600000000000001</v>
      </c>
      <c r="G71" s="2">
        <v>24.2</v>
      </c>
      <c r="H71" s="2">
        <v>43.2</v>
      </c>
      <c r="I71" s="2">
        <v>31395.47</v>
      </c>
    </row>
    <row r="72" spans="1:9">
      <c r="A72" s="1" t="s">
        <v>8</v>
      </c>
      <c r="B72" s="2" t="s">
        <v>81</v>
      </c>
      <c r="C72" s="2" t="s">
        <v>78</v>
      </c>
      <c r="D72" s="2">
        <v>16</v>
      </c>
      <c r="E72" s="2">
        <v>7699.92</v>
      </c>
      <c r="F72" s="2">
        <v>16.899999999999999</v>
      </c>
      <c r="G72" s="2">
        <v>26.5</v>
      </c>
      <c r="H72" s="2">
        <v>48</v>
      </c>
      <c r="I72" s="2">
        <v>39095.39</v>
      </c>
    </row>
    <row r="73" spans="1:9">
      <c r="A73" s="1" t="s">
        <v>8</v>
      </c>
      <c r="B73" s="2" t="s">
        <v>77</v>
      </c>
      <c r="C73" s="2" t="s">
        <v>78</v>
      </c>
      <c r="D73" s="2">
        <v>25</v>
      </c>
      <c r="E73" s="2">
        <v>7877.9</v>
      </c>
      <c r="F73" s="2">
        <v>16.899999999999999</v>
      </c>
      <c r="G73" s="2">
        <v>39.799999999999997</v>
      </c>
      <c r="H73" s="2">
        <v>49.6</v>
      </c>
      <c r="I73" s="2">
        <v>46973.29</v>
      </c>
    </row>
    <row r="74" spans="1:9">
      <c r="A74" s="1" t="s">
        <v>8</v>
      </c>
      <c r="B74" s="2" t="s">
        <v>52</v>
      </c>
      <c r="C74" s="2" t="s">
        <v>78</v>
      </c>
      <c r="D74" s="2">
        <v>18</v>
      </c>
      <c r="E74" s="2">
        <v>981.24</v>
      </c>
      <c r="F74" s="2">
        <v>18.100000000000001</v>
      </c>
      <c r="G74" s="2">
        <v>31.8</v>
      </c>
      <c r="H74" s="2">
        <v>49.1</v>
      </c>
      <c r="I74" s="2">
        <v>47954.53</v>
      </c>
    </row>
    <row r="75" spans="1:9">
      <c r="A75" s="1" t="s">
        <v>8</v>
      </c>
      <c r="B75" s="2" t="s">
        <v>79</v>
      </c>
      <c r="C75" s="2" t="s">
        <v>78</v>
      </c>
      <c r="D75" s="2">
        <v>26</v>
      </c>
      <c r="E75" s="2">
        <v>500.63</v>
      </c>
      <c r="F75" s="2">
        <v>16.600000000000001</v>
      </c>
      <c r="G75" s="2">
        <v>26.8</v>
      </c>
      <c r="H75" s="2">
        <v>59.5</v>
      </c>
      <c r="I75" s="2">
        <v>48455.16</v>
      </c>
    </row>
    <row r="76" spans="1:9">
      <c r="A76" s="1" t="s">
        <v>8</v>
      </c>
      <c r="B76" s="2" t="s">
        <v>82</v>
      </c>
      <c r="C76" s="2" t="s">
        <v>78</v>
      </c>
      <c r="D76" s="2">
        <v>59</v>
      </c>
      <c r="E76" s="2">
        <v>2320</v>
      </c>
      <c r="F76" s="2">
        <v>16.100000000000001</v>
      </c>
      <c r="G76" s="2">
        <v>25.2</v>
      </c>
      <c r="H76" s="2">
        <v>44.4</v>
      </c>
      <c r="I76" s="2">
        <v>50775.16</v>
      </c>
    </row>
    <row r="77" spans="1:9">
      <c r="A77" s="1" t="s">
        <v>8</v>
      </c>
      <c r="B77" s="2" t="s">
        <v>83</v>
      </c>
      <c r="C77" s="2" t="s">
        <v>78</v>
      </c>
      <c r="D77" s="2">
        <v>20</v>
      </c>
      <c r="E77" s="2">
        <v>811.15</v>
      </c>
      <c r="F77" s="2">
        <v>13.8</v>
      </c>
      <c r="G77" s="2">
        <v>29.9</v>
      </c>
      <c r="H77" s="2">
        <v>39.6</v>
      </c>
      <c r="I77" s="2">
        <v>51586.31</v>
      </c>
    </row>
    <row r="78" spans="1:9">
      <c r="A78" s="1" t="s">
        <v>8</v>
      </c>
      <c r="B78" s="2" t="s">
        <v>54</v>
      </c>
      <c r="C78" s="2" t="s">
        <v>78</v>
      </c>
      <c r="D78" s="2">
        <v>26</v>
      </c>
      <c r="E78" s="2">
        <v>4163.49</v>
      </c>
      <c r="F78" s="2">
        <v>18.3</v>
      </c>
      <c r="G78" s="2">
        <v>23.5</v>
      </c>
      <c r="H78" s="2">
        <v>27</v>
      </c>
      <c r="I78" s="2">
        <v>55749.8</v>
      </c>
    </row>
    <row r="79" spans="1:9">
      <c r="A79" s="1" t="s">
        <v>8</v>
      </c>
      <c r="B79" s="2" t="s">
        <v>50</v>
      </c>
      <c r="C79" s="2" t="s">
        <v>78</v>
      </c>
      <c r="D79" s="2">
        <v>21</v>
      </c>
      <c r="E79" s="2">
        <v>23626.7</v>
      </c>
      <c r="F79" s="2">
        <v>17.2</v>
      </c>
      <c r="G79" s="2">
        <v>30.1</v>
      </c>
      <c r="H79" s="2">
        <v>40</v>
      </c>
      <c r="I79" s="2">
        <v>79376.5</v>
      </c>
    </row>
    <row r="80" spans="1:9">
      <c r="A80" s="1" t="s">
        <v>8</v>
      </c>
      <c r="B80" s="2" t="s">
        <v>79</v>
      </c>
      <c r="C80" s="2" t="s">
        <v>84</v>
      </c>
      <c r="D80" s="2">
        <v>19</v>
      </c>
      <c r="E80" s="2">
        <v>938.95</v>
      </c>
      <c r="F80" s="2">
        <v>46.7</v>
      </c>
      <c r="G80" s="2">
        <v>26.3</v>
      </c>
      <c r="H80" s="2">
        <v>51.2</v>
      </c>
      <c r="I80" s="2">
        <v>80315.45</v>
      </c>
    </row>
    <row r="81" spans="1:9">
      <c r="A81" s="1" t="s">
        <v>8</v>
      </c>
      <c r="B81" s="2" t="s">
        <v>80</v>
      </c>
      <c r="C81" s="2" t="s">
        <v>84</v>
      </c>
      <c r="D81" s="2">
        <v>16</v>
      </c>
      <c r="E81" s="2">
        <v>157.82</v>
      </c>
      <c r="F81" s="2">
        <v>46.1</v>
      </c>
      <c r="G81" s="2">
        <v>35.200000000000003</v>
      </c>
      <c r="H81" s="2">
        <v>60</v>
      </c>
      <c r="I81" s="2">
        <v>80473.27</v>
      </c>
    </row>
    <row r="82" spans="1:9">
      <c r="A82" s="1" t="s">
        <v>8</v>
      </c>
      <c r="B82" s="2" t="s">
        <v>81</v>
      </c>
      <c r="C82" s="2" t="s">
        <v>84</v>
      </c>
      <c r="D82" s="2">
        <v>26</v>
      </c>
      <c r="E82" s="2">
        <v>17380.07</v>
      </c>
      <c r="F82" s="2">
        <v>43.7</v>
      </c>
      <c r="G82" s="2">
        <v>28.2</v>
      </c>
      <c r="H82" s="2">
        <v>53.6</v>
      </c>
      <c r="I82" s="2">
        <v>97853.34</v>
      </c>
    </row>
    <row r="83" spans="1:9">
      <c r="A83" s="1" t="s">
        <v>8</v>
      </c>
      <c r="B83" s="2" t="s">
        <v>77</v>
      </c>
      <c r="C83" s="2" t="s">
        <v>84</v>
      </c>
      <c r="D83" s="2">
        <v>26</v>
      </c>
      <c r="E83" s="2">
        <v>8293.32</v>
      </c>
      <c r="F83" s="2">
        <v>45.3</v>
      </c>
      <c r="G83" s="2">
        <v>38.6</v>
      </c>
      <c r="H83" s="2">
        <v>54.8</v>
      </c>
      <c r="I83" s="2">
        <v>106146.66</v>
      </c>
    </row>
    <row r="84" spans="1:9">
      <c r="A84" s="1" t="s">
        <v>8</v>
      </c>
      <c r="B84" s="2" t="s">
        <v>52</v>
      </c>
      <c r="C84" s="2" t="s">
        <v>84</v>
      </c>
      <c r="D84" s="2">
        <v>27</v>
      </c>
      <c r="E84" s="2">
        <v>31426.85</v>
      </c>
      <c r="F84" s="2">
        <v>44.2</v>
      </c>
      <c r="G84" s="2">
        <v>30.7</v>
      </c>
      <c r="H84" s="2">
        <v>57.5</v>
      </c>
      <c r="I84" s="2">
        <v>137573.51</v>
      </c>
    </row>
    <row r="85" spans="1:9">
      <c r="A85" s="1" t="s">
        <v>8</v>
      </c>
      <c r="B85" s="2" t="s">
        <v>55</v>
      </c>
      <c r="C85" s="2" t="s">
        <v>84</v>
      </c>
      <c r="D85" s="2">
        <v>43</v>
      </c>
      <c r="E85" s="2">
        <v>8766.67</v>
      </c>
      <c r="F85" s="2">
        <v>43</v>
      </c>
      <c r="G85" s="2">
        <v>27.1</v>
      </c>
      <c r="H85" s="2">
        <v>40.799999999999997</v>
      </c>
      <c r="I85" s="2">
        <v>146340.18</v>
      </c>
    </row>
    <row r="86" spans="1:9">
      <c r="A86" s="1" t="s">
        <v>8</v>
      </c>
      <c r="B86" s="2" t="s">
        <v>53</v>
      </c>
      <c r="C86" s="2" t="s">
        <v>84</v>
      </c>
      <c r="D86" s="2">
        <v>28</v>
      </c>
      <c r="E86" s="2">
        <v>13085.26</v>
      </c>
      <c r="F86" s="2">
        <v>45.5</v>
      </c>
      <c r="G86" s="2">
        <v>24.4</v>
      </c>
      <c r="H86" s="2">
        <v>49.7</v>
      </c>
      <c r="I86" s="2">
        <v>159425.44</v>
      </c>
    </row>
    <row r="87" spans="1:9">
      <c r="A87" s="1" t="s">
        <v>8</v>
      </c>
      <c r="B87" s="2" t="s">
        <v>56</v>
      </c>
      <c r="C87" s="2" t="s">
        <v>84</v>
      </c>
      <c r="D87" s="2">
        <v>19</v>
      </c>
      <c r="E87" s="2">
        <v>580.74</v>
      </c>
      <c r="F87" s="2">
        <v>45.7</v>
      </c>
      <c r="G87" s="2">
        <v>23.9</v>
      </c>
      <c r="H87" s="2">
        <v>45</v>
      </c>
      <c r="I87" s="2">
        <v>160006.18</v>
      </c>
    </row>
    <row r="88" spans="1:9">
      <c r="A88" s="1" t="s">
        <v>8</v>
      </c>
      <c r="B88" s="2" t="s">
        <v>83</v>
      </c>
      <c r="C88" s="2" t="s">
        <v>84</v>
      </c>
      <c r="D88" s="2">
        <v>19</v>
      </c>
      <c r="E88" s="2">
        <v>924.24</v>
      </c>
      <c r="F88" s="2">
        <v>43.6</v>
      </c>
      <c r="G88" s="2">
        <v>30.7</v>
      </c>
      <c r="H88" s="2">
        <v>68</v>
      </c>
      <c r="I88" s="2">
        <v>160930.42000000001</v>
      </c>
    </row>
    <row r="89" spans="1:9">
      <c r="A89" s="1" t="s">
        <v>8</v>
      </c>
      <c r="B89" s="2" t="s">
        <v>54</v>
      </c>
      <c r="C89" s="2" t="s">
        <v>84</v>
      </c>
      <c r="D89" s="2">
        <v>23</v>
      </c>
      <c r="E89" s="2">
        <v>8815.23</v>
      </c>
      <c r="F89" s="2">
        <v>46.4</v>
      </c>
      <c r="G89" s="2">
        <v>25</v>
      </c>
      <c r="H89" s="2">
        <v>41.4</v>
      </c>
      <c r="I89" s="2">
        <v>169745.65</v>
      </c>
    </row>
    <row r="90" spans="1:9">
      <c r="A90" s="1" t="s">
        <v>8</v>
      </c>
      <c r="B90" s="2" t="s">
        <v>82</v>
      </c>
      <c r="C90" s="2" t="s">
        <v>84</v>
      </c>
      <c r="D90" s="2">
        <v>47</v>
      </c>
      <c r="E90" s="2">
        <v>2485.0700000000002</v>
      </c>
      <c r="F90" s="2">
        <v>44.7</v>
      </c>
      <c r="G90" s="2">
        <v>25.7</v>
      </c>
      <c r="H90" s="2">
        <v>49</v>
      </c>
      <c r="I90" s="2">
        <v>172230.72</v>
      </c>
    </row>
    <row r="91" spans="1:9">
      <c r="A91" s="1" t="s">
        <v>8</v>
      </c>
      <c r="B91" s="2" t="s">
        <v>51</v>
      </c>
      <c r="C91" s="2" t="s">
        <v>84</v>
      </c>
      <c r="D91" s="2">
        <v>45</v>
      </c>
      <c r="E91" s="2">
        <v>8904.4599999999991</v>
      </c>
      <c r="F91" s="2">
        <v>47.3</v>
      </c>
      <c r="G91" s="2">
        <v>20.3</v>
      </c>
      <c r="H91" s="2">
        <v>57.3</v>
      </c>
      <c r="I91" s="2">
        <v>181135.18</v>
      </c>
    </row>
    <row r="92" spans="1:9">
      <c r="A92" s="1" t="s">
        <v>8</v>
      </c>
      <c r="B92" s="2" t="s">
        <v>50</v>
      </c>
      <c r="C92" s="2" t="s">
        <v>84</v>
      </c>
      <c r="D92" s="2">
        <v>37</v>
      </c>
      <c r="E92" s="2">
        <v>22670.73</v>
      </c>
      <c r="F92" s="2">
        <v>46.1</v>
      </c>
      <c r="G92" s="2">
        <v>32.299999999999997</v>
      </c>
      <c r="H92" s="2">
        <v>31.1</v>
      </c>
      <c r="I92" s="2">
        <v>203805.91</v>
      </c>
    </row>
    <row r="93" spans="1:9">
      <c r="A93" s="1" t="s">
        <v>8</v>
      </c>
      <c r="B93" s="2" t="s">
        <v>54</v>
      </c>
      <c r="C93" s="2" t="s">
        <v>85</v>
      </c>
      <c r="D93" s="2">
        <v>22</v>
      </c>
      <c r="E93" s="2">
        <v>8921.31</v>
      </c>
      <c r="F93" s="2">
        <v>77.2</v>
      </c>
      <c r="G93" s="2">
        <v>25.8</v>
      </c>
      <c r="H93" s="2">
        <v>36.799999999999997</v>
      </c>
      <c r="I93" s="2">
        <v>234850.15</v>
      </c>
    </row>
    <row r="94" spans="1:9">
      <c r="A94" s="1" t="s">
        <v>8</v>
      </c>
      <c r="B94" s="2" t="s">
        <v>82</v>
      </c>
      <c r="C94" s="2" t="s">
        <v>85</v>
      </c>
      <c r="D94" s="2">
        <v>50</v>
      </c>
      <c r="E94" s="2">
        <v>2646.73</v>
      </c>
      <c r="F94" s="2">
        <v>77.2</v>
      </c>
      <c r="G94" s="2">
        <v>27.8</v>
      </c>
      <c r="H94" s="2">
        <v>51.5</v>
      </c>
      <c r="I94" s="2">
        <v>217044.24</v>
      </c>
    </row>
    <row r="95" spans="1:9">
      <c r="A95" s="1" t="s">
        <v>8</v>
      </c>
      <c r="B95" s="2" t="s">
        <v>79</v>
      </c>
      <c r="C95" s="2" t="s">
        <v>85</v>
      </c>
      <c r="D95" s="2">
        <v>28</v>
      </c>
      <c r="E95" s="2">
        <v>1426.49</v>
      </c>
      <c r="F95" s="2">
        <v>78.3</v>
      </c>
      <c r="G95" s="2">
        <v>28.6</v>
      </c>
      <c r="H95" s="2">
        <v>51.3</v>
      </c>
      <c r="I95" s="2">
        <v>218470.73</v>
      </c>
    </row>
    <row r="96" spans="1:9">
      <c r="A96" s="1" t="s">
        <v>8</v>
      </c>
      <c r="B96" s="2" t="s">
        <v>80</v>
      </c>
      <c r="C96" s="2" t="s">
        <v>85</v>
      </c>
      <c r="D96" s="2">
        <v>22</v>
      </c>
      <c r="E96" s="2">
        <v>296.74</v>
      </c>
      <c r="F96" s="2">
        <v>78.7</v>
      </c>
      <c r="G96" s="2">
        <v>36.799999999999997</v>
      </c>
      <c r="H96" s="2">
        <v>35.799999999999997</v>
      </c>
      <c r="I96" s="2">
        <v>218767.47</v>
      </c>
    </row>
    <row r="97" spans="1:9">
      <c r="A97" s="1" t="s">
        <v>8</v>
      </c>
      <c r="B97" s="2" t="s">
        <v>83</v>
      </c>
      <c r="C97" s="2" t="s">
        <v>85</v>
      </c>
      <c r="D97" s="2">
        <v>27</v>
      </c>
      <c r="E97" s="2">
        <v>770.83</v>
      </c>
      <c r="F97" s="2">
        <v>72.3</v>
      </c>
      <c r="G97" s="2">
        <v>28.6</v>
      </c>
      <c r="H97" s="2">
        <v>41.6</v>
      </c>
      <c r="I97" s="2">
        <v>219538.3</v>
      </c>
    </row>
    <row r="98" spans="1:9">
      <c r="A98" s="1" t="s">
        <v>8</v>
      </c>
      <c r="B98" s="2" t="s">
        <v>81</v>
      </c>
      <c r="C98" s="2" t="s">
        <v>85</v>
      </c>
      <c r="D98" s="2">
        <v>21</v>
      </c>
      <c r="E98" s="2">
        <v>6390.54</v>
      </c>
      <c r="F98" s="2">
        <v>74.599999999999994</v>
      </c>
      <c r="G98" s="2">
        <v>29</v>
      </c>
      <c r="H98" s="2">
        <v>45</v>
      </c>
      <c r="I98" s="2">
        <v>225928.84</v>
      </c>
    </row>
    <row r="99" spans="1:9">
      <c r="A99" s="1" t="s">
        <v>8</v>
      </c>
      <c r="B99" s="2" t="s">
        <v>53</v>
      </c>
      <c r="C99" s="2" t="s">
        <v>85</v>
      </c>
      <c r="D99" s="2">
        <v>22</v>
      </c>
      <c r="E99" s="2">
        <v>10591.6</v>
      </c>
      <c r="F99" s="2">
        <v>72.3</v>
      </c>
      <c r="G99" s="2">
        <v>22.6</v>
      </c>
      <c r="H99" s="2">
        <v>50.1</v>
      </c>
      <c r="I99" s="2">
        <v>214397.51</v>
      </c>
    </row>
    <row r="100" spans="1:9">
      <c r="A100" s="1" t="s">
        <v>8</v>
      </c>
      <c r="B100" s="2" t="s">
        <v>55</v>
      </c>
      <c r="C100" s="2" t="s">
        <v>85</v>
      </c>
      <c r="D100" s="2">
        <v>51</v>
      </c>
      <c r="E100" s="2">
        <v>17042.63</v>
      </c>
      <c r="F100" s="2">
        <v>75.7</v>
      </c>
      <c r="G100" s="2">
        <v>27.4</v>
      </c>
      <c r="H100" s="2">
        <v>54</v>
      </c>
      <c r="I100" s="2">
        <v>251892.78</v>
      </c>
    </row>
    <row r="101" spans="1:9">
      <c r="A101" s="1" t="s">
        <v>8</v>
      </c>
      <c r="B101" s="2" t="s">
        <v>56</v>
      </c>
      <c r="C101" s="2" t="s">
        <v>85</v>
      </c>
      <c r="D101" s="2">
        <v>17</v>
      </c>
      <c r="E101" s="2">
        <v>402.16</v>
      </c>
      <c r="F101" s="2">
        <v>71.7</v>
      </c>
      <c r="G101" s="2">
        <v>18.2</v>
      </c>
      <c r="H101" s="2">
        <v>44.8</v>
      </c>
      <c r="I101" s="2">
        <v>252294.94</v>
      </c>
    </row>
    <row r="102" spans="1:9">
      <c r="A102" s="1" t="s">
        <v>8</v>
      </c>
      <c r="B102" s="2" t="s">
        <v>77</v>
      </c>
      <c r="C102" s="2" t="s">
        <v>85</v>
      </c>
      <c r="D102" s="2">
        <v>21</v>
      </c>
      <c r="E102" s="2">
        <v>5580.24</v>
      </c>
      <c r="F102" s="2">
        <v>76.5</v>
      </c>
      <c r="G102" s="2">
        <v>36.6</v>
      </c>
      <c r="H102" s="2">
        <v>36</v>
      </c>
      <c r="I102" s="2">
        <v>257875.18</v>
      </c>
    </row>
    <row r="103" spans="1:9">
      <c r="A103" s="1" t="s">
        <v>8</v>
      </c>
      <c r="B103" s="2" t="s">
        <v>50</v>
      </c>
      <c r="C103" s="2" t="s">
        <v>85</v>
      </c>
      <c r="D103" s="2">
        <v>27</v>
      </c>
      <c r="E103" s="2">
        <v>25789.75</v>
      </c>
      <c r="F103" s="2">
        <v>74.3</v>
      </c>
      <c r="G103" s="2">
        <v>29.9</v>
      </c>
      <c r="H103" s="2">
        <v>43.9</v>
      </c>
      <c r="I103" s="2">
        <v>283664.93</v>
      </c>
    </row>
    <row r="104" spans="1:9">
      <c r="A104" s="1" t="s">
        <v>8</v>
      </c>
      <c r="B104" s="2" t="s">
        <v>52</v>
      </c>
      <c r="C104" s="2" t="s">
        <v>85</v>
      </c>
      <c r="D104" s="2">
        <v>9</v>
      </c>
      <c r="E104" s="2">
        <v>12541.16</v>
      </c>
      <c r="F104" s="2">
        <v>75.900000000000006</v>
      </c>
      <c r="G104" s="2">
        <v>26.6</v>
      </c>
      <c r="H104" s="2">
        <v>53</v>
      </c>
      <c r="I104" s="2">
        <v>296206.09000000003</v>
      </c>
    </row>
    <row r="105" spans="1:9">
      <c r="A105" s="1" t="s">
        <v>8</v>
      </c>
      <c r="B105" s="2" t="s">
        <v>51</v>
      </c>
      <c r="C105" s="2" t="s">
        <v>85</v>
      </c>
      <c r="D105" s="2">
        <v>33</v>
      </c>
      <c r="E105" s="2">
        <v>36947.160000000003</v>
      </c>
      <c r="F105" s="2">
        <v>76.400000000000006</v>
      </c>
      <c r="G105" s="2">
        <v>24.1</v>
      </c>
      <c r="H105" s="2">
        <v>45.2</v>
      </c>
      <c r="I105" s="2">
        <v>333153.25</v>
      </c>
    </row>
    <row r="106" spans="1:9">
      <c r="A106" s="1" t="s">
        <v>8</v>
      </c>
      <c r="B106" s="2" t="s">
        <v>79</v>
      </c>
      <c r="C106" s="2" t="s">
        <v>86</v>
      </c>
      <c r="D106" s="2">
        <v>27</v>
      </c>
      <c r="E106" s="2">
        <v>216.02</v>
      </c>
      <c r="F106" s="2">
        <v>102.5</v>
      </c>
      <c r="G106" s="2">
        <v>27.4</v>
      </c>
      <c r="H106" s="2">
        <v>81</v>
      </c>
      <c r="I106" s="2">
        <v>406750.73</v>
      </c>
    </row>
    <row r="107" spans="1:9">
      <c r="A107" s="1" t="s">
        <v>8</v>
      </c>
      <c r="B107" s="2" t="s">
        <v>53</v>
      </c>
      <c r="C107" s="2" t="s">
        <v>86</v>
      </c>
      <c r="D107" s="2">
        <v>21</v>
      </c>
      <c r="E107" s="2">
        <v>11468.53</v>
      </c>
      <c r="F107" s="2">
        <v>105</v>
      </c>
      <c r="G107" s="2">
        <v>26</v>
      </c>
      <c r="H107" s="2">
        <v>52.7</v>
      </c>
      <c r="I107" s="2">
        <v>377257.77</v>
      </c>
    </row>
    <row r="108" spans="1:9">
      <c r="A108" s="1" t="s">
        <v>8</v>
      </c>
      <c r="B108" s="2" t="s">
        <v>54</v>
      </c>
      <c r="C108" s="2" t="s">
        <v>86</v>
      </c>
      <c r="D108" s="2">
        <v>24</v>
      </c>
      <c r="E108" s="2">
        <v>10398.56</v>
      </c>
      <c r="F108" s="2">
        <v>103.7</v>
      </c>
      <c r="G108" s="2">
        <v>24.3</v>
      </c>
      <c r="H108" s="2">
        <v>50.3</v>
      </c>
      <c r="I108" s="2">
        <v>387656.33</v>
      </c>
    </row>
    <row r="109" spans="1:9">
      <c r="A109" s="1" t="s">
        <v>8</v>
      </c>
      <c r="B109" s="2" t="s">
        <v>77</v>
      </c>
      <c r="C109" s="2" t="s">
        <v>86</v>
      </c>
      <c r="D109" s="2">
        <v>33</v>
      </c>
      <c r="E109" s="2">
        <v>6522.21</v>
      </c>
      <c r="F109" s="2">
        <v>103</v>
      </c>
      <c r="G109" s="2">
        <v>39.299999999999997</v>
      </c>
      <c r="H109" s="2">
        <v>49.7</v>
      </c>
      <c r="I109" s="2">
        <v>394178.54</v>
      </c>
    </row>
    <row r="110" spans="1:9">
      <c r="A110" s="1" t="s">
        <v>8</v>
      </c>
      <c r="B110" s="2" t="s">
        <v>55</v>
      </c>
      <c r="C110" s="2" t="s">
        <v>86</v>
      </c>
      <c r="D110" s="2">
        <v>50</v>
      </c>
      <c r="E110" s="2">
        <v>10378.120000000001</v>
      </c>
      <c r="F110" s="2">
        <v>105.8</v>
      </c>
      <c r="G110" s="2">
        <v>26.4</v>
      </c>
      <c r="H110" s="2">
        <v>72</v>
      </c>
      <c r="I110" s="2">
        <v>404556.66</v>
      </c>
    </row>
    <row r="111" spans="1:9">
      <c r="A111" s="1" t="s">
        <v>8</v>
      </c>
      <c r="B111" s="2" t="s">
        <v>82</v>
      </c>
      <c r="C111" s="2" t="s">
        <v>86</v>
      </c>
      <c r="D111" s="2">
        <v>39</v>
      </c>
      <c r="E111" s="2">
        <v>1534.92</v>
      </c>
      <c r="F111" s="2">
        <v>105.9</v>
      </c>
      <c r="G111" s="2">
        <v>24.3</v>
      </c>
      <c r="H111" s="2">
        <v>58.9</v>
      </c>
      <c r="I111" s="2">
        <v>406091.58</v>
      </c>
    </row>
    <row r="112" spans="1:9">
      <c r="A112" s="1" t="s">
        <v>8</v>
      </c>
      <c r="B112" s="2" t="s">
        <v>56</v>
      </c>
      <c r="C112" s="2" t="s">
        <v>86</v>
      </c>
      <c r="D112" s="2">
        <v>18</v>
      </c>
      <c r="E112" s="2">
        <v>443.13</v>
      </c>
      <c r="F112" s="2">
        <v>107.6</v>
      </c>
      <c r="G112" s="2">
        <v>20.8</v>
      </c>
      <c r="H112" s="2">
        <v>42.3</v>
      </c>
      <c r="I112" s="2">
        <v>406534.71</v>
      </c>
    </row>
    <row r="113" spans="1:9">
      <c r="A113" s="1" t="s">
        <v>8</v>
      </c>
      <c r="B113" s="2" t="s">
        <v>51</v>
      </c>
      <c r="C113" s="2" t="s">
        <v>86</v>
      </c>
      <c r="D113" s="2">
        <v>44</v>
      </c>
      <c r="E113" s="2">
        <v>32635.99</v>
      </c>
      <c r="F113" s="2">
        <v>105.8</v>
      </c>
      <c r="G113" s="2">
        <v>24.3</v>
      </c>
      <c r="H113" s="2">
        <v>44.4</v>
      </c>
      <c r="I113" s="2">
        <v>365789.24</v>
      </c>
    </row>
    <row r="114" spans="1:9">
      <c r="A114" s="1" t="s">
        <v>8</v>
      </c>
      <c r="B114" s="2" t="s">
        <v>50</v>
      </c>
      <c r="C114" s="2" t="s">
        <v>86</v>
      </c>
      <c r="D114" s="2">
        <v>32</v>
      </c>
      <c r="E114" s="2">
        <v>54280.44</v>
      </c>
      <c r="F114" s="2">
        <v>106.3</v>
      </c>
      <c r="G114" s="2">
        <v>28.1</v>
      </c>
      <c r="H114" s="2">
        <v>59.9</v>
      </c>
      <c r="I114" s="2">
        <v>461031.17</v>
      </c>
    </row>
    <row r="115" spans="1:9">
      <c r="A115" s="1" t="s">
        <v>8</v>
      </c>
      <c r="B115" s="2" t="s">
        <v>83</v>
      </c>
      <c r="C115" s="2" t="s">
        <v>86</v>
      </c>
      <c r="D115" s="2">
        <v>24</v>
      </c>
      <c r="E115" s="2">
        <v>1120.6600000000001</v>
      </c>
      <c r="F115" s="2">
        <v>105.6</v>
      </c>
      <c r="G115" s="2">
        <v>32.200000000000003</v>
      </c>
      <c r="H115" s="2">
        <v>53.9</v>
      </c>
      <c r="I115" s="2">
        <v>462151.83</v>
      </c>
    </row>
    <row r="116" spans="1:9">
      <c r="A116" s="1" t="s">
        <v>8</v>
      </c>
      <c r="B116" s="2" t="s">
        <v>81</v>
      </c>
      <c r="C116" s="2" t="s">
        <v>86</v>
      </c>
      <c r="D116" s="2">
        <v>18</v>
      </c>
      <c r="E116" s="2">
        <v>572.16</v>
      </c>
      <c r="F116" s="2">
        <v>105.6</v>
      </c>
      <c r="G116" s="2">
        <v>25.3</v>
      </c>
      <c r="H116" s="2">
        <v>32.799999999999997</v>
      </c>
      <c r="I116" s="2">
        <v>462723.99</v>
      </c>
    </row>
    <row r="117" spans="1:9">
      <c r="A117" s="1" t="s">
        <v>8</v>
      </c>
      <c r="B117" s="2" t="s">
        <v>80</v>
      </c>
      <c r="C117" s="2" t="s">
        <v>86</v>
      </c>
      <c r="D117" s="2">
        <v>20</v>
      </c>
      <c r="E117" s="2">
        <v>449.19</v>
      </c>
      <c r="F117" s="2">
        <v>104.4</v>
      </c>
      <c r="G117" s="2">
        <v>36.9</v>
      </c>
      <c r="H117" s="2">
        <v>50.8</v>
      </c>
      <c r="I117" s="2">
        <v>463173.18</v>
      </c>
    </row>
    <row r="118" spans="1:9">
      <c r="A118" s="1" t="s">
        <v>8</v>
      </c>
      <c r="B118" s="2" t="s">
        <v>52</v>
      </c>
      <c r="C118" s="2" t="s">
        <v>86</v>
      </c>
      <c r="D118" s="2">
        <v>18</v>
      </c>
      <c r="E118" s="2">
        <v>17756.259999999998</v>
      </c>
      <c r="F118" s="2">
        <v>105.9</v>
      </c>
      <c r="G118" s="2">
        <v>33</v>
      </c>
      <c r="H118" s="2">
        <v>60.7</v>
      </c>
      <c r="I118" s="2">
        <v>480929.44</v>
      </c>
    </row>
    <row r="119" spans="1:9">
      <c r="A119" s="1" t="s">
        <v>8</v>
      </c>
      <c r="B119" s="2" t="s">
        <v>53</v>
      </c>
      <c r="C119" s="2" t="s">
        <v>87</v>
      </c>
      <c r="D119" s="2">
        <v>988</v>
      </c>
      <c r="E119" s="2">
        <v>357866.03</v>
      </c>
      <c r="F119" s="2">
        <v>681</v>
      </c>
      <c r="G119" s="2">
        <v>24.5</v>
      </c>
      <c r="H119" s="2">
        <v>49.2</v>
      </c>
      <c r="I119" s="2">
        <v>838795.47</v>
      </c>
    </row>
    <row r="120" spans="1:9">
      <c r="A120" s="1" t="s">
        <v>8</v>
      </c>
      <c r="B120" s="2" t="s">
        <v>56</v>
      </c>
      <c r="C120" s="2" t="s">
        <v>87</v>
      </c>
      <c r="D120" s="2">
        <v>699</v>
      </c>
      <c r="E120" s="2">
        <v>110774.96</v>
      </c>
      <c r="F120" s="2">
        <v>685.9</v>
      </c>
      <c r="G120" s="2">
        <v>21.4</v>
      </c>
      <c r="H120" s="2">
        <v>47.8</v>
      </c>
      <c r="I120" s="2">
        <v>949570.43</v>
      </c>
    </row>
    <row r="121" spans="1:9">
      <c r="A121" s="1" t="s">
        <v>8</v>
      </c>
      <c r="B121" s="2" t="s">
        <v>50</v>
      </c>
      <c r="C121" s="2" t="s">
        <v>87</v>
      </c>
      <c r="D121" s="2">
        <v>1268</v>
      </c>
      <c r="E121" s="2">
        <v>1412388.67</v>
      </c>
      <c r="F121" s="2">
        <v>692.9</v>
      </c>
      <c r="G121" s="2">
        <v>29</v>
      </c>
      <c r="H121" s="2">
        <v>48</v>
      </c>
      <c r="I121" s="2">
        <v>2361959.1</v>
      </c>
    </row>
    <row r="122" spans="1:9">
      <c r="A122" s="1" t="s">
        <v>8</v>
      </c>
      <c r="B122" s="2" t="s">
        <v>80</v>
      </c>
      <c r="C122" s="2" t="s">
        <v>87</v>
      </c>
      <c r="D122" s="2">
        <v>699</v>
      </c>
      <c r="E122" s="2">
        <v>16408.52</v>
      </c>
      <c r="F122" s="2">
        <v>694.9</v>
      </c>
      <c r="G122" s="2">
        <v>35.799999999999997</v>
      </c>
      <c r="H122" s="2">
        <v>49.7</v>
      </c>
      <c r="I122" s="2">
        <v>2378367.62</v>
      </c>
    </row>
    <row r="123" spans="1:9">
      <c r="A123" s="1" t="s">
        <v>8</v>
      </c>
      <c r="B123" s="2" t="s">
        <v>79</v>
      </c>
      <c r="C123" s="2" t="s">
        <v>87</v>
      </c>
      <c r="D123" s="2">
        <v>1089</v>
      </c>
      <c r="E123" s="2">
        <v>40442.28</v>
      </c>
      <c r="F123" s="2">
        <v>688.6</v>
      </c>
      <c r="G123" s="2">
        <v>26.9</v>
      </c>
      <c r="H123" s="2">
        <v>50.3</v>
      </c>
      <c r="I123" s="2">
        <v>2418809.9</v>
      </c>
    </row>
    <row r="124" spans="1:9">
      <c r="A124" s="1" t="s">
        <v>8</v>
      </c>
      <c r="B124" s="2" t="s">
        <v>51</v>
      </c>
      <c r="C124" s="2" t="s">
        <v>87</v>
      </c>
      <c r="D124" s="2">
        <v>1405</v>
      </c>
      <c r="E124" s="2">
        <v>779556.25</v>
      </c>
      <c r="F124" s="2">
        <v>700.9</v>
      </c>
      <c r="G124" s="2">
        <v>23.2</v>
      </c>
      <c r="H124" s="2">
        <v>48.5</v>
      </c>
      <c r="I124" s="2">
        <v>3198366.15</v>
      </c>
    </row>
    <row r="125" spans="1:9">
      <c r="A125" s="1" t="s">
        <v>8</v>
      </c>
      <c r="B125" s="2" t="s">
        <v>77</v>
      </c>
      <c r="C125" s="2" t="s">
        <v>87</v>
      </c>
      <c r="D125" s="2">
        <v>993</v>
      </c>
      <c r="E125" s="2">
        <v>276363.18</v>
      </c>
      <c r="F125" s="2">
        <v>712.6</v>
      </c>
      <c r="G125" s="2">
        <v>39</v>
      </c>
      <c r="H125" s="2">
        <v>50.7</v>
      </c>
      <c r="I125" s="2">
        <v>3474729.33</v>
      </c>
    </row>
    <row r="126" spans="1:9">
      <c r="A126" s="1" t="s">
        <v>8</v>
      </c>
      <c r="B126" s="2" t="s">
        <v>52</v>
      </c>
      <c r="C126" s="2" t="s">
        <v>87</v>
      </c>
      <c r="D126" s="2">
        <v>704</v>
      </c>
      <c r="E126" s="2">
        <v>594084.67000000004</v>
      </c>
      <c r="F126" s="2">
        <v>720.5</v>
      </c>
      <c r="G126" s="2">
        <v>31.2</v>
      </c>
      <c r="H126" s="2">
        <v>50.4</v>
      </c>
      <c r="I126" s="2">
        <v>4068814</v>
      </c>
    </row>
    <row r="127" spans="1:9">
      <c r="A127" s="1" t="s">
        <v>8</v>
      </c>
      <c r="B127" s="2" t="s">
        <v>83</v>
      </c>
      <c r="C127" s="2" t="s">
        <v>87</v>
      </c>
      <c r="D127" s="2">
        <v>828</v>
      </c>
      <c r="E127" s="2">
        <v>35960.68</v>
      </c>
      <c r="F127" s="2">
        <v>704.2</v>
      </c>
      <c r="G127" s="2">
        <v>30.4</v>
      </c>
      <c r="H127" s="2">
        <v>52.2</v>
      </c>
      <c r="I127" s="2">
        <v>4104774.68</v>
      </c>
    </row>
    <row r="128" spans="1:9">
      <c r="A128" s="1" t="s">
        <v>8</v>
      </c>
      <c r="B128" s="2" t="s">
        <v>55</v>
      </c>
      <c r="C128" s="2" t="s">
        <v>87</v>
      </c>
      <c r="D128" s="2">
        <v>1982</v>
      </c>
      <c r="E128" s="2">
        <v>347504.86</v>
      </c>
      <c r="F128" s="2">
        <v>688.6</v>
      </c>
      <c r="G128" s="2">
        <v>27</v>
      </c>
      <c r="H128" s="2">
        <v>46.8</v>
      </c>
      <c r="I128" s="2">
        <v>4452279.54</v>
      </c>
    </row>
    <row r="129" spans="1:9">
      <c r="A129" s="1" t="s">
        <v>8</v>
      </c>
      <c r="B129" s="2" t="s">
        <v>54</v>
      </c>
      <c r="C129" s="2" t="s">
        <v>87</v>
      </c>
      <c r="D129" s="2">
        <v>840</v>
      </c>
      <c r="E129" s="2">
        <v>416282.26</v>
      </c>
      <c r="F129" s="2">
        <v>690.7</v>
      </c>
      <c r="G129" s="2">
        <v>25.3</v>
      </c>
      <c r="H129" s="2">
        <v>52</v>
      </c>
      <c r="I129" s="2">
        <v>4868561.8</v>
      </c>
    </row>
    <row r="130" spans="1:9">
      <c r="A130" s="1" t="s">
        <v>8</v>
      </c>
      <c r="B130" s="2" t="s">
        <v>81</v>
      </c>
      <c r="C130" s="2" t="s">
        <v>87</v>
      </c>
      <c r="D130" s="2">
        <v>818</v>
      </c>
      <c r="E130" s="2">
        <v>134238.96</v>
      </c>
      <c r="F130" s="2">
        <v>692.5</v>
      </c>
      <c r="G130" s="2">
        <v>25.6</v>
      </c>
      <c r="H130" s="2">
        <v>48.4</v>
      </c>
      <c r="I130" s="2">
        <v>5002800.76</v>
      </c>
    </row>
    <row r="131" spans="1:9">
      <c r="A131" s="1" t="s">
        <v>8</v>
      </c>
      <c r="B131" s="2" t="s">
        <v>82</v>
      </c>
      <c r="C131" s="2" t="s">
        <v>87</v>
      </c>
      <c r="D131" s="2">
        <v>1703</v>
      </c>
      <c r="E131" s="2">
        <v>68701.009999999995</v>
      </c>
      <c r="F131" s="2">
        <v>705.9</v>
      </c>
      <c r="G131" s="2">
        <v>25.8</v>
      </c>
      <c r="H131" s="2">
        <v>47.7</v>
      </c>
      <c r="I131" s="2">
        <v>5071501.7699999996</v>
      </c>
    </row>
    <row r="132" spans="1:9">
      <c r="A132" s="1" t="s">
        <v>5</v>
      </c>
      <c r="B132" s="2" t="s">
        <v>55</v>
      </c>
      <c r="C132" s="2" t="s">
        <v>78</v>
      </c>
      <c r="D132" s="2">
        <v>92</v>
      </c>
      <c r="E132" s="2">
        <v>20562.53</v>
      </c>
      <c r="F132" s="2">
        <v>15.6</v>
      </c>
      <c r="G132" s="2">
        <v>29.6</v>
      </c>
      <c r="H132" s="2">
        <v>50.2</v>
      </c>
      <c r="I132" s="2">
        <v>20562.53</v>
      </c>
    </row>
    <row r="133" spans="1:9">
      <c r="A133" s="1" t="s">
        <v>5</v>
      </c>
      <c r="B133" s="2" t="s">
        <v>54</v>
      </c>
      <c r="C133" s="2" t="s">
        <v>78</v>
      </c>
      <c r="D133" s="2">
        <v>54</v>
      </c>
      <c r="E133" s="2">
        <v>32647.91</v>
      </c>
      <c r="F133" s="2">
        <v>15.7</v>
      </c>
      <c r="G133" s="2">
        <v>24.6</v>
      </c>
      <c r="H133" s="2">
        <v>51.4</v>
      </c>
      <c r="I133" s="2">
        <v>53210.44</v>
      </c>
    </row>
    <row r="134" spans="1:9">
      <c r="A134" s="1" t="s">
        <v>5</v>
      </c>
      <c r="B134" s="2" t="s">
        <v>52</v>
      </c>
      <c r="C134" s="2" t="s">
        <v>78</v>
      </c>
      <c r="D134" s="2">
        <v>37</v>
      </c>
      <c r="E134" s="2">
        <v>44488.22</v>
      </c>
      <c r="F134" s="2">
        <v>18.5</v>
      </c>
      <c r="G134" s="2">
        <v>31.9</v>
      </c>
      <c r="H134" s="2">
        <v>52.2</v>
      </c>
      <c r="I134" s="2">
        <v>97698.66</v>
      </c>
    </row>
    <row r="135" spans="1:9">
      <c r="A135" s="1" t="s">
        <v>5</v>
      </c>
      <c r="B135" s="2" t="s">
        <v>82</v>
      </c>
      <c r="C135" s="2" t="s">
        <v>78</v>
      </c>
      <c r="D135" s="2">
        <v>81</v>
      </c>
      <c r="E135" s="2">
        <v>2357.88</v>
      </c>
      <c r="F135" s="2">
        <v>14.9</v>
      </c>
      <c r="G135" s="2">
        <v>30.4</v>
      </c>
      <c r="H135" s="2">
        <v>46.9</v>
      </c>
      <c r="I135" s="2">
        <v>100056.54</v>
      </c>
    </row>
    <row r="136" spans="1:9">
      <c r="A136" s="1" t="s">
        <v>5</v>
      </c>
      <c r="B136" s="2" t="s">
        <v>56</v>
      </c>
      <c r="C136" s="2" t="s">
        <v>78</v>
      </c>
      <c r="D136" s="2">
        <v>39</v>
      </c>
      <c r="E136" s="2">
        <v>4512.92</v>
      </c>
      <c r="F136" s="2">
        <v>16.3</v>
      </c>
      <c r="G136" s="2">
        <v>32.200000000000003</v>
      </c>
      <c r="H136" s="2">
        <v>49</v>
      </c>
      <c r="I136" s="2">
        <v>104569.46</v>
      </c>
    </row>
    <row r="137" spans="1:9">
      <c r="A137" s="1" t="s">
        <v>5</v>
      </c>
      <c r="B137" s="2" t="s">
        <v>77</v>
      </c>
      <c r="C137" s="2" t="s">
        <v>78</v>
      </c>
      <c r="D137" s="2">
        <v>57</v>
      </c>
      <c r="E137" s="2">
        <v>22391.54</v>
      </c>
      <c r="F137" s="2">
        <v>13.5</v>
      </c>
      <c r="G137" s="2">
        <v>35.700000000000003</v>
      </c>
      <c r="H137" s="2">
        <v>53.5</v>
      </c>
      <c r="I137" s="2">
        <v>126961</v>
      </c>
    </row>
    <row r="138" spans="1:9">
      <c r="A138" s="1" t="s">
        <v>5</v>
      </c>
      <c r="B138" s="2" t="s">
        <v>81</v>
      </c>
      <c r="C138" s="2" t="s">
        <v>78</v>
      </c>
      <c r="D138" s="2">
        <v>61</v>
      </c>
      <c r="E138" s="2">
        <v>5327.84</v>
      </c>
      <c r="F138" s="2">
        <v>17.600000000000001</v>
      </c>
      <c r="G138" s="2">
        <v>35.5</v>
      </c>
      <c r="H138" s="2">
        <v>41.5</v>
      </c>
      <c r="I138" s="2">
        <v>132288.84</v>
      </c>
    </row>
    <row r="139" spans="1:9">
      <c r="A139" s="1" t="s">
        <v>5</v>
      </c>
      <c r="B139" s="2" t="s">
        <v>80</v>
      </c>
      <c r="C139" s="2" t="s">
        <v>78</v>
      </c>
      <c r="D139" s="2">
        <v>37</v>
      </c>
      <c r="E139" s="2">
        <v>479.73</v>
      </c>
      <c r="F139" s="2">
        <v>15.1</v>
      </c>
      <c r="G139" s="2">
        <v>31.5</v>
      </c>
      <c r="H139" s="2">
        <v>53.8</v>
      </c>
      <c r="I139" s="2">
        <v>132768.57</v>
      </c>
    </row>
    <row r="140" spans="1:9">
      <c r="A140" s="1" t="s">
        <v>5</v>
      </c>
      <c r="B140" s="2" t="s">
        <v>79</v>
      </c>
      <c r="C140" s="2" t="s">
        <v>78</v>
      </c>
      <c r="D140" s="2">
        <v>53</v>
      </c>
      <c r="E140" s="2">
        <v>1798.19</v>
      </c>
      <c r="F140" s="2">
        <v>13.7</v>
      </c>
      <c r="G140" s="2">
        <v>29.1</v>
      </c>
      <c r="H140" s="2">
        <v>53.5</v>
      </c>
      <c r="I140" s="2">
        <v>134566.76</v>
      </c>
    </row>
    <row r="141" spans="1:9">
      <c r="A141" s="1" t="s">
        <v>5</v>
      </c>
      <c r="B141" s="2" t="s">
        <v>51</v>
      </c>
      <c r="C141" s="2" t="s">
        <v>78</v>
      </c>
      <c r="D141" s="2">
        <v>64</v>
      </c>
      <c r="E141" s="2">
        <v>37906.879999999997</v>
      </c>
      <c r="F141" s="2">
        <v>13.8</v>
      </c>
      <c r="G141" s="2">
        <v>28</v>
      </c>
      <c r="H141" s="2">
        <v>48.9</v>
      </c>
      <c r="I141" s="2">
        <v>172473.64</v>
      </c>
    </row>
    <row r="142" spans="1:9">
      <c r="A142" s="1" t="s">
        <v>5</v>
      </c>
      <c r="B142" s="2" t="s">
        <v>83</v>
      </c>
      <c r="C142" s="2" t="s">
        <v>78</v>
      </c>
      <c r="D142" s="2">
        <v>61</v>
      </c>
      <c r="E142" s="2">
        <v>2748.24</v>
      </c>
      <c r="F142" s="2">
        <v>15.9</v>
      </c>
      <c r="G142" s="2">
        <v>26.9</v>
      </c>
      <c r="H142" s="2">
        <v>53.9</v>
      </c>
      <c r="I142" s="2">
        <v>175221.88</v>
      </c>
    </row>
    <row r="143" spans="1:9">
      <c r="A143" s="1" t="s">
        <v>5</v>
      </c>
      <c r="B143" s="2" t="s">
        <v>50</v>
      </c>
      <c r="C143" s="2" t="s">
        <v>78</v>
      </c>
      <c r="D143" s="2">
        <v>68</v>
      </c>
      <c r="E143" s="2">
        <v>35310.85</v>
      </c>
      <c r="F143" s="2">
        <v>15.4</v>
      </c>
      <c r="G143" s="2">
        <v>29.6</v>
      </c>
      <c r="H143" s="2">
        <v>43.8</v>
      </c>
      <c r="I143" s="2">
        <v>210532.73</v>
      </c>
    </row>
    <row r="144" spans="1:9">
      <c r="A144" s="1" t="s">
        <v>5</v>
      </c>
      <c r="B144" s="2" t="s">
        <v>53</v>
      </c>
      <c r="C144" s="2" t="s">
        <v>78</v>
      </c>
      <c r="D144" s="2">
        <v>46</v>
      </c>
      <c r="E144" s="2">
        <v>10453.14</v>
      </c>
      <c r="F144" s="2">
        <v>14.7</v>
      </c>
      <c r="G144" s="2">
        <v>31.2</v>
      </c>
      <c r="H144" s="2">
        <v>42</v>
      </c>
      <c r="I144" s="2">
        <v>220985.87</v>
      </c>
    </row>
    <row r="145" spans="1:9">
      <c r="A145" s="1" t="s">
        <v>5</v>
      </c>
      <c r="B145" s="2" t="s">
        <v>56</v>
      </c>
      <c r="C145" s="2" t="s">
        <v>84</v>
      </c>
      <c r="D145" s="2">
        <v>24</v>
      </c>
      <c r="E145" s="2">
        <v>397</v>
      </c>
      <c r="F145" s="2">
        <v>46</v>
      </c>
      <c r="G145" s="2">
        <v>29.3</v>
      </c>
      <c r="H145" s="2">
        <v>35.5</v>
      </c>
      <c r="I145" s="2">
        <v>221382.87</v>
      </c>
    </row>
    <row r="146" spans="1:9">
      <c r="A146" s="1" t="s">
        <v>5</v>
      </c>
      <c r="B146" s="2" t="s">
        <v>52</v>
      </c>
      <c r="C146" s="2" t="s">
        <v>84</v>
      </c>
      <c r="D146" s="2">
        <v>39</v>
      </c>
      <c r="E146" s="2">
        <v>55986.39</v>
      </c>
      <c r="F146" s="2">
        <v>47.1</v>
      </c>
      <c r="G146" s="2">
        <v>33.9</v>
      </c>
      <c r="H146" s="2">
        <v>54</v>
      </c>
      <c r="I146" s="2">
        <v>277369.26</v>
      </c>
    </row>
    <row r="147" spans="1:9">
      <c r="A147" s="1" t="s">
        <v>5</v>
      </c>
      <c r="B147" s="2" t="s">
        <v>81</v>
      </c>
      <c r="C147" s="2" t="s">
        <v>84</v>
      </c>
      <c r="D147" s="2">
        <v>45</v>
      </c>
      <c r="E147" s="2">
        <v>5869.66</v>
      </c>
      <c r="F147" s="2">
        <v>46.8</v>
      </c>
      <c r="G147" s="2">
        <v>32.4</v>
      </c>
      <c r="H147" s="2">
        <v>54.5</v>
      </c>
      <c r="I147" s="2">
        <v>283238.92</v>
      </c>
    </row>
    <row r="148" spans="1:9">
      <c r="A148" s="1" t="s">
        <v>5</v>
      </c>
      <c r="B148" s="2" t="s">
        <v>54</v>
      </c>
      <c r="C148" s="2" t="s">
        <v>84</v>
      </c>
      <c r="D148" s="2">
        <v>40</v>
      </c>
      <c r="E148" s="2">
        <v>17616.09</v>
      </c>
      <c r="F148" s="2">
        <v>44.8</v>
      </c>
      <c r="G148" s="2">
        <v>24.5</v>
      </c>
      <c r="H148" s="2">
        <v>37.9</v>
      </c>
      <c r="I148" s="2">
        <v>300855.01</v>
      </c>
    </row>
    <row r="149" spans="1:9">
      <c r="A149" s="1" t="s">
        <v>5</v>
      </c>
      <c r="B149" s="2" t="s">
        <v>55</v>
      </c>
      <c r="C149" s="2" t="s">
        <v>84</v>
      </c>
      <c r="D149" s="2">
        <v>80</v>
      </c>
      <c r="E149" s="2">
        <v>13572.73</v>
      </c>
      <c r="F149" s="2">
        <v>45.5</v>
      </c>
      <c r="G149" s="2">
        <v>28</v>
      </c>
      <c r="H149" s="2">
        <v>45.8</v>
      </c>
      <c r="I149" s="2">
        <v>314427.74</v>
      </c>
    </row>
    <row r="150" spans="1:9">
      <c r="A150" s="1" t="s">
        <v>5</v>
      </c>
      <c r="B150" s="2" t="s">
        <v>82</v>
      </c>
      <c r="C150" s="2" t="s">
        <v>84</v>
      </c>
      <c r="D150" s="2">
        <v>87</v>
      </c>
      <c r="E150" s="2">
        <v>3626.09</v>
      </c>
      <c r="F150" s="2">
        <v>46.8</v>
      </c>
      <c r="G150" s="2">
        <v>30</v>
      </c>
      <c r="H150" s="2">
        <v>43.6</v>
      </c>
      <c r="I150" s="2">
        <v>318053.83</v>
      </c>
    </row>
    <row r="151" spans="1:9">
      <c r="A151" s="1" t="s">
        <v>5</v>
      </c>
      <c r="B151" s="2" t="s">
        <v>77</v>
      </c>
      <c r="C151" s="2" t="s">
        <v>84</v>
      </c>
      <c r="D151" s="2">
        <v>63</v>
      </c>
      <c r="E151" s="2">
        <v>22783.51</v>
      </c>
      <c r="F151" s="2">
        <v>45.3</v>
      </c>
      <c r="G151" s="2">
        <v>35.200000000000003</v>
      </c>
      <c r="H151" s="2">
        <v>52.7</v>
      </c>
      <c r="I151" s="2">
        <v>340837.34</v>
      </c>
    </row>
    <row r="152" spans="1:9">
      <c r="A152" s="1" t="s">
        <v>5</v>
      </c>
      <c r="B152" s="2" t="s">
        <v>83</v>
      </c>
      <c r="C152" s="2" t="s">
        <v>84</v>
      </c>
      <c r="D152" s="2">
        <v>39</v>
      </c>
      <c r="E152" s="2">
        <v>1474.17</v>
      </c>
      <c r="F152" s="2">
        <v>46.9</v>
      </c>
      <c r="G152" s="2">
        <v>25.6</v>
      </c>
      <c r="H152" s="2">
        <v>40.700000000000003</v>
      </c>
      <c r="I152" s="2">
        <v>342311.51</v>
      </c>
    </row>
    <row r="153" spans="1:9">
      <c r="A153" s="1" t="s">
        <v>5</v>
      </c>
      <c r="B153" s="2" t="s">
        <v>50</v>
      </c>
      <c r="C153" s="2" t="s">
        <v>84</v>
      </c>
      <c r="D153" s="2">
        <v>58</v>
      </c>
      <c r="E153" s="2">
        <v>124011.74</v>
      </c>
      <c r="F153" s="2">
        <v>45</v>
      </c>
      <c r="G153" s="2">
        <v>28.2</v>
      </c>
      <c r="H153" s="2">
        <v>49</v>
      </c>
      <c r="I153" s="2">
        <v>466323.25</v>
      </c>
    </row>
    <row r="154" spans="1:9">
      <c r="A154" s="1" t="s">
        <v>5</v>
      </c>
      <c r="B154" s="2" t="s">
        <v>79</v>
      </c>
      <c r="C154" s="2" t="s">
        <v>84</v>
      </c>
      <c r="D154" s="2">
        <v>46</v>
      </c>
      <c r="E154" s="2">
        <v>1345.67</v>
      </c>
      <c r="F154" s="2">
        <v>45.4</v>
      </c>
      <c r="G154" s="2">
        <v>29</v>
      </c>
      <c r="H154" s="2">
        <v>34.1</v>
      </c>
      <c r="I154" s="2">
        <v>467668.92</v>
      </c>
    </row>
    <row r="155" spans="1:9">
      <c r="A155" s="1" t="s">
        <v>5</v>
      </c>
      <c r="B155" s="2" t="s">
        <v>51</v>
      </c>
      <c r="C155" s="2" t="s">
        <v>84</v>
      </c>
      <c r="D155" s="2">
        <v>73</v>
      </c>
      <c r="E155" s="2">
        <v>35076.879999999997</v>
      </c>
      <c r="F155" s="2">
        <v>44.8</v>
      </c>
      <c r="G155" s="2">
        <v>27</v>
      </c>
      <c r="H155" s="2">
        <v>48.1</v>
      </c>
      <c r="I155" s="2">
        <v>502745.8</v>
      </c>
    </row>
    <row r="156" spans="1:9">
      <c r="A156" s="1" t="s">
        <v>5</v>
      </c>
      <c r="B156" s="2" t="s">
        <v>80</v>
      </c>
      <c r="C156" s="2" t="s">
        <v>84</v>
      </c>
      <c r="D156" s="2">
        <v>42</v>
      </c>
      <c r="E156" s="2">
        <v>862.29</v>
      </c>
      <c r="F156" s="2">
        <v>44.7</v>
      </c>
      <c r="G156" s="2">
        <v>31.8</v>
      </c>
      <c r="H156" s="2">
        <v>36.700000000000003</v>
      </c>
      <c r="I156" s="2">
        <v>503608.09</v>
      </c>
    </row>
    <row r="157" spans="1:9">
      <c r="A157" s="1" t="s">
        <v>5</v>
      </c>
      <c r="B157" s="2" t="s">
        <v>53</v>
      </c>
      <c r="C157" s="2" t="s">
        <v>84</v>
      </c>
      <c r="D157" s="2">
        <v>60</v>
      </c>
      <c r="E157" s="2">
        <v>17078.45</v>
      </c>
      <c r="F157" s="2">
        <v>46.4</v>
      </c>
      <c r="G157" s="2">
        <v>30.7</v>
      </c>
      <c r="H157" s="2">
        <v>35.1</v>
      </c>
      <c r="I157" s="2">
        <v>520686.54</v>
      </c>
    </row>
    <row r="158" spans="1:9">
      <c r="A158" s="1" t="s">
        <v>5</v>
      </c>
      <c r="B158" s="2" t="s">
        <v>56</v>
      </c>
      <c r="C158" s="2" t="s">
        <v>85</v>
      </c>
      <c r="D158" s="2">
        <v>37</v>
      </c>
      <c r="E158" s="2">
        <v>2902.35</v>
      </c>
      <c r="F158" s="2">
        <v>73.099999999999994</v>
      </c>
      <c r="G158" s="2">
        <v>35.9</v>
      </c>
      <c r="H158" s="2">
        <v>48.4</v>
      </c>
      <c r="I158" s="2">
        <v>751302.89</v>
      </c>
    </row>
    <row r="159" spans="1:9">
      <c r="A159" s="1" t="s">
        <v>5</v>
      </c>
      <c r="B159" s="2" t="s">
        <v>80</v>
      </c>
      <c r="C159" s="2" t="s">
        <v>85</v>
      </c>
      <c r="D159" s="2">
        <v>42</v>
      </c>
      <c r="E159" s="2">
        <v>811.63</v>
      </c>
      <c r="F159" s="2">
        <v>76.900000000000006</v>
      </c>
      <c r="G159" s="2">
        <v>29</v>
      </c>
      <c r="H159" s="2">
        <v>40.799999999999997</v>
      </c>
      <c r="I159" s="2">
        <v>523214.53</v>
      </c>
    </row>
    <row r="160" spans="1:9">
      <c r="A160" s="1" t="s">
        <v>5</v>
      </c>
      <c r="B160" s="2" t="s">
        <v>50</v>
      </c>
      <c r="C160" s="2" t="s">
        <v>85</v>
      </c>
      <c r="D160" s="2">
        <v>77</v>
      </c>
      <c r="E160" s="2">
        <v>189231.41</v>
      </c>
      <c r="F160" s="2">
        <v>74.7</v>
      </c>
      <c r="G160" s="2">
        <v>27.9</v>
      </c>
      <c r="H160" s="2">
        <v>49.1</v>
      </c>
      <c r="I160" s="2">
        <v>712445.94</v>
      </c>
    </row>
    <row r="161" spans="1:9">
      <c r="A161" s="1" t="s">
        <v>5</v>
      </c>
      <c r="B161" s="2" t="s">
        <v>52</v>
      </c>
      <c r="C161" s="2" t="s">
        <v>85</v>
      </c>
      <c r="D161" s="2">
        <v>24</v>
      </c>
      <c r="E161" s="2">
        <v>28112.45</v>
      </c>
      <c r="F161" s="2">
        <v>75.599999999999994</v>
      </c>
      <c r="G161" s="2">
        <v>33.6</v>
      </c>
      <c r="H161" s="2">
        <v>64</v>
      </c>
      <c r="I161" s="2">
        <v>740558.39</v>
      </c>
    </row>
    <row r="162" spans="1:9">
      <c r="A162" s="1" t="s">
        <v>5</v>
      </c>
      <c r="B162" s="2" t="s">
        <v>79</v>
      </c>
      <c r="C162" s="2" t="s">
        <v>85</v>
      </c>
      <c r="D162" s="2">
        <v>65</v>
      </c>
      <c r="E162" s="2">
        <v>2616.64</v>
      </c>
      <c r="F162" s="2">
        <v>75.3</v>
      </c>
      <c r="G162" s="2">
        <v>27.5</v>
      </c>
      <c r="H162" s="2">
        <v>46.6</v>
      </c>
      <c r="I162" s="2">
        <v>743175.03</v>
      </c>
    </row>
    <row r="163" spans="1:9">
      <c r="A163" s="1" t="s">
        <v>5</v>
      </c>
      <c r="B163" s="2" t="s">
        <v>81</v>
      </c>
      <c r="C163" s="2" t="s">
        <v>85</v>
      </c>
      <c r="D163" s="2">
        <v>41</v>
      </c>
      <c r="E163" s="2">
        <v>5225.51</v>
      </c>
      <c r="F163" s="2">
        <v>75.2</v>
      </c>
      <c r="G163" s="2">
        <v>32.9</v>
      </c>
      <c r="H163" s="2">
        <v>44.5</v>
      </c>
      <c r="I163" s="2">
        <v>748400.54</v>
      </c>
    </row>
    <row r="164" spans="1:9">
      <c r="A164" s="1" t="s">
        <v>5</v>
      </c>
      <c r="B164" s="2" t="s">
        <v>83</v>
      </c>
      <c r="C164" s="2" t="s">
        <v>85</v>
      </c>
      <c r="D164" s="2">
        <v>37</v>
      </c>
      <c r="E164" s="2">
        <v>1716.36</v>
      </c>
      <c r="F164" s="2">
        <v>76.5</v>
      </c>
      <c r="G164" s="2">
        <v>26.5</v>
      </c>
      <c r="H164" s="2">
        <v>46.8</v>
      </c>
      <c r="I164" s="2">
        <v>522402.9</v>
      </c>
    </row>
    <row r="165" spans="1:9">
      <c r="A165" s="1" t="s">
        <v>5</v>
      </c>
      <c r="B165" s="2" t="s">
        <v>54</v>
      </c>
      <c r="C165" s="2" t="s">
        <v>85</v>
      </c>
      <c r="D165" s="2">
        <v>54</v>
      </c>
      <c r="E165" s="2">
        <v>31222.57</v>
      </c>
      <c r="F165" s="2">
        <v>73.599999999999994</v>
      </c>
      <c r="G165" s="2">
        <v>26.8</v>
      </c>
      <c r="H165" s="2">
        <v>50.1</v>
      </c>
      <c r="I165" s="2">
        <v>782525.46</v>
      </c>
    </row>
    <row r="166" spans="1:9">
      <c r="A166" s="1" t="s">
        <v>5</v>
      </c>
      <c r="B166" s="2" t="s">
        <v>82</v>
      </c>
      <c r="C166" s="2" t="s">
        <v>85</v>
      </c>
      <c r="D166" s="2">
        <v>88</v>
      </c>
      <c r="E166" s="2">
        <v>4513.7</v>
      </c>
      <c r="F166" s="2">
        <v>74</v>
      </c>
      <c r="G166" s="2">
        <v>29.9</v>
      </c>
      <c r="H166" s="2">
        <v>52.5</v>
      </c>
      <c r="I166" s="2">
        <v>787039.16</v>
      </c>
    </row>
    <row r="167" spans="1:9">
      <c r="A167" s="1" t="s">
        <v>5</v>
      </c>
      <c r="B167" s="2" t="s">
        <v>53</v>
      </c>
      <c r="C167" s="2" t="s">
        <v>85</v>
      </c>
      <c r="D167" s="2">
        <v>43</v>
      </c>
      <c r="E167" s="2">
        <v>15096.42</v>
      </c>
      <c r="F167" s="2">
        <v>72.900000000000006</v>
      </c>
      <c r="G167" s="2">
        <v>32</v>
      </c>
      <c r="H167" s="2">
        <v>49.7</v>
      </c>
      <c r="I167" s="2">
        <v>802135.58</v>
      </c>
    </row>
    <row r="168" spans="1:9">
      <c r="A168" s="1" t="s">
        <v>5</v>
      </c>
      <c r="B168" s="2" t="s">
        <v>77</v>
      </c>
      <c r="C168" s="2" t="s">
        <v>85</v>
      </c>
      <c r="D168" s="2">
        <v>50</v>
      </c>
      <c r="E168" s="2">
        <v>10462.36</v>
      </c>
      <c r="F168" s="2">
        <v>74.099999999999994</v>
      </c>
      <c r="G168" s="2">
        <v>33.6</v>
      </c>
      <c r="H168" s="2">
        <v>45.5</v>
      </c>
      <c r="I168" s="2">
        <v>812597.94</v>
      </c>
    </row>
    <row r="169" spans="1:9">
      <c r="A169" s="1" t="s">
        <v>5</v>
      </c>
      <c r="B169" s="2" t="s">
        <v>55</v>
      </c>
      <c r="C169" s="2" t="s">
        <v>85</v>
      </c>
      <c r="D169" s="2">
        <v>96</v>
      </c>
      <c r="E169" s="2">
        <v>24253.759999999998</v>
      </c>
      <c r="F169" s="2">
        <v>75.3</v>
      </c>
      <c r="G169" s="2">
        <v>29.3</v>
      </c>
      <c r="H169" s="2">
        <v>50.7</v>
      </c>
      <c r="I169" s="2">
        <v>836851.7</v>
      </c>
    </row>
    <row r="170" spans="1:9">
      <c r="A170" s="1" t="s">
        <v>5</v>
      </c>
      <c r="B170" s="2" t="s">
        <v>51</v>
      </c>
      <c r="C170" s="2" t="s">
        <v>85</v>
      </c>
      <c r="D170" s="2">
        <v>79</v>
      </c>
      <c r="E170" s="2">
        <v>42044.2</v>
      </c>
      <c r="F170" s="2">
        <v>74.7</v>
      </c>
      <c r="G170" s="2">
        <v>26.1</v>
      </c>
      <c r="H170" s="2">
        <v>35.9</v>
      </c>
      <c r="I170" s="2">
        <v>878895.9</v>
      </c>
    </row>
    <row r="171" spans="1:9">
      <c r="A171" s="1" t="s">
        <v>5</v>
      </c>
      <c r="B171" s="2" t="s">
        <v>80</v>
      </c>
      <c r="C171" s="2" t="s">
        <v>86</v>
      </c>
      <c r="D171" s="2">
        <v>41</v>
      </c>
      <c r="E171" s="2">
        <v>1041.01</v>
      </c>
      <c r="F171" s="2">
        <v>103.7</v>
      </c>
      <c r="G171" s="2">
        <v>33.700000000000003</v>
      </c>
      <c r="H171" s="2">
        <v>52.1</v>
      </c>
      <c r="I171" s="2">
        <v>995575.79</v>
      </c>
    </row>
    <row r="172" spans="1:9">
      <c r="A172" s="1" t="s">
        <v>5</v>
      </c>
      <c r="B172" s="2" t="s">
        <v>82</v>
      </c>
      <c r="C172" s="2" t="s">
        <v>86</v>
      </c>
      <c r="D172" s="2">
        <v>86</v>
      </c>
      <c r="E172" s="2">
        <v>3137.8</v>
      </c>
      <c r="F172" s="2">
        <v>104.1</v>
      </c>
      <c r="G172" s="2">
        <v>29.7</v>
      </c>
      <c r="H172" s="2">
        <v>46.5</v>
      </c>
      <c r="I172" s="2">
        <v>903122.52</v>
      </c>
    </row>
    <row r="173" spans="1:9">
      <c r="A173" s="1" t="s">
        <v>5</v>
      </c>
      <c r="B173" s="2" t="s">
        <v>51</v>
      </c>
      <c r="C173" s="2" t="s">
        <v>86</v>
      </c>
      <c r="D173" s="2">
        <v>68</v>
      </c>
      <c r="E173" s="2">
        <v>32997.72</v>
      </c>
      <c r="F173" s="2">
        <v>105.4</v>
      </c>
      <c r="G173" s="2">
        <v>26.7</v>
      </c>
      <c r="H173" s="2">
        <v>38.5</v>
      </c>
      <c r="I173" s="2">
        <v>936120.24</v>
      </c>
    </row>
    <row r="174" spans="1:9">
      <c r="A174" s="1" t="s">
        <v>5</v>
      </c>
      <c r="B174" s="2" t="s">
        <v>56</v>
      </c>
      <c r="C174" s="2" t="s">
        <v>86</v>
      </c>
      <c r="D174" s="2">
        <v>33</v>
      </c>
      <c r="E174" s="2">
        <v>4992.54</v>
      </c>
      <c r="F174" s="2">
        <v>105.7</v>
      </c>
      <c r="G174" s="2">
        <v>34.200000000000003</v>
      </c>
      <c r="H174" s="2">
        <v>42.2</v>
      </c>
      <c r="I174" s="2">
        <v>941112.78</v>
      </c>
    </row>
    <row r="175" spans="1:9">
      <c r="A175" s="1" t="s">
        <v>5</v>
      </c>
      <c r="B175" s="2" t="s">
        <v>55</v>
      </c>
      <c r="C175" s="2" t="s">
        <v>86</v>
      </c>
      <c r="D175" s="2">
        <v>85</v>
      </c>
      <c r="E175" s="2">
        <v>19062.11</v>
      </c>
      <c r="F175" s="2">
        <v>105.6</v>
      </c>
      <c r="G175" s="2">
        <v>28.7</v>
      </c>
      <c r="H175" s="2">
        <v>49.2</v>
      </c>
      <c r="I175" s="2">
        <v>960174.89</v>
      </c>
    </row>
    <row r="176" spans="1:9">
      <c r="A176" s="1" t="s">
        <v>5</v>
      </c>
      <c r="B176" s="2" t="s">
        <v>53</v>
      </c>
      <c r="C176" s="2" t="s">
        <v>86</v>
      </c>
      <c r="D176" s="2">
        <v>60</v>
      </c>
      <c r="E176" s="2">
        <v>31668.18</v>
      </c>
      <c r="F176" s="2">
        <v>106.2</v>
      </c>
      <c r="G176" s="2">
        <v>31.3</v>
      </c>
      <c r="H176" s="2">
        <v>44.6</v>
      </c>
      <c r="I176" s="2">
        <v>991843.07</v>
      </c>
    </row>
    <row r="177" spans="1:9">
      <c r="A177" s="1" t="s">
        <v>5</v>
      </c>
      <c r="B177" s="2" t="s">
        <v>79</v>
      </c>
      <c r="C177" s="2" t="s">
        <v>86</v>
      </c>
      <c r="D177" s="2">
        <v>56</v>
      </c>
      <c r="E177" s="2">
        <v>2691.71</v>
      </c>
      <c r="F177" s="2">
        <v>104.8</v>
      </c>
      <c r="G177" s="2">
        <v>28.5</v>
      </c>
      <c r="H177" s="2">
        <v>54</v>
      </c>
      <c r="I177" s="2">
        <v>994534.78</v>
      </c>
    </row>
    <row r="178" spans="1:9">
      <c r="A178" s="1" t="s">
        <v>5</v>
      </c>
      <c r="B178" s="2" t="s">
        <v>77</v>
      </c>
      <c r="C178" s="2" t="s">
        <v>86</v>
      </c>
      <c r="D178" s="2">
        <v>57</v>
      </c>
      <c r="E178" s="2">
        <v>21088.82</v>
      </c>
      <c r="F178" s="2">
        <v>104.4</v>
      </c>
      <c r="G178" s="2">
        <v>35.700000000000003</v>
      </c>
      <c r="H178" s="2">
        <v>51.8</v>
      </c>
      <c r="I178" s="2">
        <v>899984.72</v>
      </c>
    </row>
    <row r="179" spans="1:9">
      <c r="A179" s="1" t="s">
        <v>5</v>
      </c>
      <c r="B179" s="2" t="s">
        <v>83</v>
      </c>
      <c r="C179" s="2" t="s">
        <v>86</v>
      </c>
      <c r="D179" s="2">
        <v>51</v>
      </c>
      <c r="E179" s="2">
        <v>1580.61</v>
      </c>
      <c r="F179" s="2">
        <v>105.7</v>
      </c>
      <c r="G179" s="2">
        <v>26.6</v>
      </c>
      <c r="H179" s="2">
        <v>52.8</v>
      </c>
      <c r="I179" s="2">
        <v>997156.4</v>
      </c>
    </row>
    <row r="180" spans="1:9">
      <c r="A180" s="1" t="s">
        <v>5</v>
      </c>
      <c r="B180" s="2" t="s">
        <v>81</v>
      </c>
      <c r="C180" s="2" t="s">
        <v>86</v>
      </c>
      <c r="D180" s="2">
        <v>39</v>
      </c>
      <c r="E180" s="2">
        <v>14398.08</v>
      </c>
      <c r="F180" s="2">
        <v>103.5</v>
      </c>
      <c r="G180" s="2">
        <v>36.6</v>
      </c>
      <c r="H180" s="2">
        <v>54.1</v>
      </c>
      <c r="I180" s="2">
        <v>1011554.48</v>
      </c>
    </row>
    <row r="181" spans="1:9">
      <c r="A181" s="1" t="s">
        <v>5</v>
      </c>
      <c r="B181" s="2" t="s">
        <v>52</v>
      </c>
      <c r="C181" s="2" t="s">
        <v>86</v>
      </c>
      <c r="D181" s="2">
        <v>39</v>
      </c>
      <c r="E181" s="2">
        <v>29873.360000000001</v>
      </c>
      <c r="F181" s="2">
        <v>104.6</v>
      </c>
      <c r="G181" s="2">
        <v>33.4</v>
      </c>
      <c r="H181" s="2">
        <v>55.1</v>
      </c>
      <c r="I181" s="2">
        <v>1041427.84</v>
      </c>
    </row>
    <row r="182" spans="1:9">
      <c r="A182" s="1" t="s">
        <v>5</v>
      </c>
      <c r="B182" s="2" t="s">
        <v>50</v>
      </c>
      <c r="C182" s="2" t="s">
        <v>86</v>
      </c>
      <c r="D182" s="2">
        <v>66</v>
      </c>
      <c r="E182" s="2">
        <v>115393.62</v>
      </c>
      <c r="F182" s="2">
        <v>106.7</v>
      </c>
      <c r="G182" s="2">
        <v>30.5</v>
      </c>
      <c r="H182" s="2">
        <v>53.2</v>
      </c>
      <c r="I182" s="2">
        <v>1156821.46</v>
      </c>
    </row>
    <row r="183" spans="1:9">
      <c r="A183" s="1" t="s">
        <v>5</v>
      </c>
      <c r="B183" s="2" t="s">
        <v>54</v>
      </c>
      <c r="C183" s="2" t="s">
        <v>86</v>
      </c>
      <c r="D183" s="2">
        <v>38</v>
      </c>
      <c r="E183" s="2">
        <v>18957.25</v>
      </c>
      <c r="F183" s="2">
        <v>107.6</v>
      </c>
      <c r="G183" s="2">
        <v>23.9</v>
      </c>
      <c r="H183" s="2">
        <v>51.5</v>
      </c>
      <c r="I183" s="2">
        <v>1175778.71</v>
      </c>
    </row>
    <row r="184" spans="1:9">
      <c r="A184" s="1" t="s">
        <v>5</v>
      </c>
      <c r="B184" s="2" t="s">
        <v>56</v>
      </c>
      <c r="C184" s="2" t="s">
        <v>87</v>
      </c>
      <c r="D184" s="2">
        <v>1375</v>
      </c>
      <c r="E184" s="2">
        <v>260867.97</v>
      </c>
      <c r="F184" s="2">
        <v>711.7</v>
      </c>
      <c r="G184" s="2">
        <v>32.799999999999997</v>
      </c>
      <c r="H184" s="2">
        <v>49.2</v>
      </c>
      <c r="I184" s="2">
        <v>1436646.68</v>
      </c>
    </row>
    <row r="185" spans="1:9">
      <c r="A185" s="1" t="s">
        <v>5</v>
      </c>
      <c r="B185" s="2" t="s">
        <v>53</v>
      </c>
      <c r="C185" s="2" t="s">
        <v>87</v>
      </c>
      <c r="D185" s="2">
        <v>1975</v>
      </c>
      <c r="E185" s="2">
        <v>716498.55</v>
      </c>
      <c r="F185" s="2">
        <v>698.9</v>
      </c>
      <c r="G185" s="2">
        <v>31.8</v>
      </c>
      <c r="H185" s="2">
        <v>46.6</v>
      </c>
      <c r="I185" s="2">
        <v>2153145.23</v>
      </c>
    </row>
    <row r="186" spans="1:9">
      <c r="A186" s="1" t="s">
        <v>5</v>
      </c>
      <c r="B186" s="2" t="s">
        <v>81</v>
      </c>
      <c r="C186" s="2" t="s">
        <v>87</v>
      </c>
      <c r="D186" s="2">
        <v>1611</v>
      </c>
      <c r="E186" s="2">
        <v>270479.71999999997</v>
      </c>
      <c r="F186" s="2">
        <v>700</v>
      </c>
      <c r="G186" s="2">
        <v>34.799999999999997</v>
      </c>
      <c r="H186" s="2">
        <v>45.8</v>
      </c>
      <c r="I186" s="2">
        <v>2423624.9500000002</v>
      </c>
    </row>
    <row r="187" spans="1:9">
      <c r="A187" s="1" t="s">
        <v>5</v>
      </c>
      <c r="B187" s="2" t="s">
        <v>82</v>
      </c>
      <c r="C187" s="2" t="s">
        <v>87</v>
      </c>
      <c r="D187" s="2">
        <v>3232</v>
      </c>
      <c r="E187" s="2">
        <v>142970.47</v>
      </c>
      <c r="F187" s="2">
        <v>705.5</v>
      </c>
      <c r="G187" s="2">
        <v>30.5</v>
      </c>
      <c r="H187" s="2">
        <v>48.8</v>
      </c>
      <c r="I187" s="2">
        <v>2566595.42</v>
      </c>
    </row>
    <row r="188" spans="1:9">
      <c r="A188" s="1" t="s">
        <v>5</v>
      </c>
      <c r="B188" s="2" t="s">
        <v>80</v>
      </c>
      <c r="C188" s="2" t="s">
        <v>87</v>
      </c>
      <c r="D188" s="2">
        <v>1368</v>
      </c>
      <c r="E188" s="2">
        <v>36639.9</v>
      </c>
      <c r="F188" s="2">
        <v>684.2</v>
      </c>
      <c r="G188" s="2">
        <v>30.9</v>
      </c>
      <c r="H188" s="2">
        <v>50.5</v>
      </c>
      <c r="I188" s="2">
        <v>2603235.3199999998</v>
      </c>
    </row>
    <row r="189" spans="1:9">
      <c r="A189" s="1" t="s">
        <v>5</v>
      </c>
      <c r="B189" s="2" t="s">
        <v>52</v>
      </c>
      <c r="C189" s="2" t="s">
        <v>87</v>
      </c>
      <c r="D189" s="2">
        <v>1340</v>
      </c>
      <c r="E189" s="2">
        <v>1085940.74</v>
      </c>
      <c r="F189" s="2">
        <v>688.7</v>
      </c>
      <c r="G189" s="2">
        <v>32.299999999999997</v>
      </c>
      <c r="H189" s="2">
        <v>47.7</v>
      </c>
      <c r="I189" s="2">
        <v>3689176.06</v>
      </c>
    </row>
    <row r="190" spans="1:9">
      <c r="A190" s="1" t="s">
        <v>5</v>
      </c>
      <c r="B190" s="2" t="s">
        <v>83</v>
      </c>
      <c r="C190" s="2" t="s">
        <v>87</v>
      </c>
      <c r="D190" s="2">
        <v>1628</v>
      </c>
      <c r="E190" s="2">
        <v>65958.55</v>
      </c>
      <c r="F190" s="2">
        <v>702</v>
      </c>
      <c r="G190" s="2">
        <v>26</v>
      </c>
      <c r="H190" s="2">
        <v>47.2</v>
      </c>
      <c r="I190" s="2">
        <v>3755134.61</v>
      </c>
    </row>
    <row r="191" spans="1:9">
      <c r="A191" s="1" t="s">
        <v>5</v>
      </c>
      <c r="B191" s="2" t="s">
        <v>54</v>
      </c>
      <c r="C191" s="2" t="s">
        <v>87</v>
      </c>
      <c r="D191" s="2">
        <v>1610</v>
      </c>
      <c r="E191" s="2">
        <v>743052.97</v>
      </c>
      <c r="F191" s="2">
        <v>702.1</v>
      </c>
      <c r="G191" s="2">
        <v>25.7</v>
      </c>
      <c r="H191" s="2">
        <v>50.1</v>
      </c>
      <c r="I191" s="2">
        <v>4498187.58</v>
      </c>
    </row>
    <row r="192" spans="1:9">
      <c r="A192" s="1" t="s">
        <v>5</v>
      </c>
      <c r="B192" s="2" t="s">
        <v>79</v>
      </c>
      <c r="C192" s="2" t="s">
        <v>87</v>
      </c>
      <c r="D192" s="2">
        <v>2135</v>
      </c>
      <c r="E192" s="2">
        <v>81179.820000000007</v>
      </c>
      <c r="F192" s="2">
        <v>688.6</v>
      </c>
      <c r="G192" s="2">
        <v>28.2</v>
      </c>
      <c r="H192" s="2">
        <v>48.2</v>
      </c>
      <c r="I192" s="2">
        <v>4579367.4000000004</v>
      </c>
    </row>
    <row r="193" spans="1:9">
      <c r="A193" s="1" t="s">
        <v>5</v>
      </c>
      <c r="B193" s="2" t="s">
        <v>55</v>
      </c>
      <c r="C193" s="2" t="s">
        <v>87</v>
      </c>
      <c r="D193" s="2">
        <v>3743</v>
      </c>
      <c r="E193" s="2">
        <v>756413.85</v>
      </c>
      <c r="F193" s="2">
        <v>692.9</v>
      </c>
      <c r="G193" s="2">
        <v>28.9</v>
      </c>
      <c r="H193" s="2">
        <v>48.8</v>
      </c>
      <c r="I193" s="2">
        <v>5335781.25</v>
      </c>
    </row>
    <row r="194" spans="1:9">
      <c r="A194" s="1" t="s">
        <v>5</v>
      </c>
      <c r="B194" s="2" t="s">
        <v>77</v>
      </c>
      <c r="C194" s="2" t="s">
        <v>87</v>
      </c>
      <c r="D194" s="2">
        <v>1905</v>
      </c>
      <c r="E194" s="2">
        <v>624874.31000000006</v>
      </c>
      <c r="F194" s="2">
        <v>691.5</v>
      </c>
      <c r="G194" s="2">
        <v>35.6</v>
      </c>
      <c r="H194" s="2">
        <v>50</v>
      </c>
      <c r="I194" s="2">
        <v>5960655.5599999996</v>
      </c>
    </row>
    <row r="195" spans="1:9">
      <c r="A195" s="1" t="s">
        <v>5</v>
      </c>
      <c r="B195" s="2" t="s">
        <v>51</v>
      </c>
      <c r="C195" s="2" t="s">
        <v>87</v>
      </c>
      <c r="D195" s="2">
        <v>2733</v>
      </c>
      <c r="E195" s="2">
        <v>1630663.11</v>
      </c>
      <c r="F195" s="2">
        <v>706.2</v>
      </c>
      <c r="G195" s="2">
        <v>26.9</v>
      </c>
      <c r="H195" s="2">
        <v>46.8</v>
      </c>
      <c r="I195" s="2">
        <v>7591318.6699999999</v>
      </c>
    </row>
    <row r="196" spans="1:9">
      <c r="A196" s="1" t="s">
        <v>5</v>
      </c>
      <c r="B196" s="2" t="s">
        <v>50</v>
      </c>
      <c r="C196" s="2" t="s">
        <v>87</v>
      </c>
      <c r="D196" s="2">
        <v>2463</v>
      </c>
      <c r="E196" s="2">
        <v>2927405.9</v>
      </c>
      <c r="F196" s="2">
        <v>694.7</v>
      </c>
      <c r="G196" s="2">
        <v>30.9</v>
      </c>
      <c r="H196" s="2">
        <v>49.2</v>
      </c>
      <c r="I196" s="2">
        <v>10518724.57</v>
      </c>
    </row>
    <row r="197" spans="1:9">
      <c r="A197" s="1" t="s">
        <v>9</v>
      </c>
      <c r="B197" s="2" t="s">
        <v>56</v>
      </c>
      <c r="C197" s="2" t="s">
        <v>78</v>
      </c>
      <c r="D197" s="2">
        <v>24</v>
      </c>
      <c r="E197" s="2">
        <v>224.65</v>
      </c>
      <c r="F197" s="2">
        <v>13.9</v>
      </c>
      <c r="G197" s="2">
        <v>26</v>
      </c>
      <c r="H197" s="2">
        <v>24</v>
      </c>
      <c r="I197" s="2">
        <v>224.65</v>
      </c>
    </row>
    <row r="198" spans="1:9">
      <c r="A198" s="1" t="s">
        <v>9</v>
      </c>
      <c r="B198" s="2" t="s">
        <v>53</v>
      </c>
      <c r="C198" s="2" t="s">
        <v>78</v>
      </c>
      <c r="D198" s="2">
        <v>32</v>
      </c>
      <c r="E198" s="2">
        <v>5690.57</v>
      </c>
      <c r="F198" s="2">
        <v>14.2</v>
      </c>
      <c r="G198" s="2">
        <v>25.5</v>
      </c>
      <c r="H198" s="2">
        <v>28</v>
      </c>
      <c r="I198" s="2">
        <v>5915.22</v>
      </c>
    </row>
    <row r="199" spans="1:9">
      <c r="A199" s="1" t="s">
        <v>9</v>
      </c>
      <c r="B199" s="2" t="s">
        <v>79</v>
      </c>
      <c r="C199" s="2" t="s">
        <v>78</v>
      </c>
      <c r="D199" s="2">
        <v>25</v>
      </c>
      <c r="E199" s="2">
        <v>792.31</v>
      </c>
      <c r="F199" s="2">
        <v>16.8</v>
      </c>
      <c r="G199" s="2">
        <v>26.1</v>
      </c>
      <c r="H199" s="2">
        <v>33.1</v>
      </c>
      <c r="I199" s="2">
        <v>6707.53</v>
      </c>
    </row>
    <row r="200" spans="1:9">
      <c r="A200" s="1" t="s">
        <v>9</v>
      </c>
      <c r="B200" s="2" t="s">
        <v>81</v>
      </c>
      <c r="C200" s="2" t="s">
        <v>78</v>
      </c>
      <c r="D200" s="2">
        <v>22</v>
      </c>
      <c r="E200" s="2">
        <v>901.69</v>
      </c>
      <c r="F200" s="2">
        <v>14.2</v>
      </c>
      <c r="G200" s="2">
        <v>22</v>
      </c>
      <c r="H200" s="2">
        <v>35.700000000000003</v>
      </c>
      <c r="I200" s="2">
        <v>7609.22</v>
      </c>
    </row>
    <row r="201" spans="1:9">
      <c r="A201" s="1" t="s">
        <v>9</v>
      </c>
      <c r="B201" s="2" t="s">
        <v>77</v>
      </c>
      <c r="C201" s="2" t="s">
        <v>78</v>
      </c>
      <c r="D201" s="2">
        <v>32</v>
      </c>
      <c r="E201" s="2">
        <v>2822.41</v>
      </c>
      <c r="F201" s="2">
        <v>15.2</v>
      </c>
      <c r="G201" s="2">
        <v>26.1</v>
      </c>
      <c r="H201" s="2">
        <v>22.6</v>
      </c>
      <c r="I201" s="2">
        <v>10431.629999999999</v>
      </c>
    </row>
    <row r="202" spans="1:9">
      <c r="A202" s="1" t="s">
        <v>9</v>
      </c>
      <c r="B202" s="2" t="s">
        <v>54</v>
      </c>
      <c r="C202" s="2" t="s">
        <v>78</v>
      </c>
      <c r="D202" s="2">
        <v>30</v>
      </c>
      <c r="E202" s="2">
        <v>6136.51</v>
      </c>
      <c r="F202" s="2">
        <v>13.3</v>
      </c>
      <c r="G202" s="2">
        <v>23.4</v>
      </c>
      <c r="H202" s="2">
        <v>33.6</v>
      </c>
      <c r="I202" s="2">
        <v>16568.14</v>
      </c>
    </row>
    <row r="203" spans="1:9">
      <c r="A203" s="1" t="s">
        <v>9</v>
      </c>
      <c r="B203" s="2" t="s">
        <v>52</v>
      </c>
      <c r="C203" s="2" t="s">
        <v>78</v>
      </c>
      <c r="D203" s="2">
        <v>21</v>
      </c>
      <c r="E203" s="2">
        <v>3838.62</v>
      </c>
      <c r="F203" s="2">
        <v>15</v>
      </c>
      <c r="G203" s="2">
        <v>30.2</v>
      </c>
      <c r="H203" s="2">
        <v>39.5</v>
      </c>
      <c r="I203" s="2">
        <v>20406.759999999998</v>
      </c>
    </row>
    <row r="204" spans="1:9">
      <c r="A204" s="1" t="s">
        <v>9</v>
      </c>
      <c r="B204" s="2" t="s">
        <v>55</v>
      </c>
      <c r="C204" s="2" t="s">
        <v>78</v>
      </c>
      <c r="D204" s="2">
        <v>63</v>
      </c>
      <c r="E204" s="2">
        <v>4136.26</v>
      </c>
      <c r="F204" s="2">
        <v>16.7</v>
      </c>
      <c r="G204" s="2">
        <v>31.6</v>
      </c>
      <c r="H204" s="2">
        <v>29.7</v>
      </c>
      <c r="I204" s="2">
        <v>24543.02</v>
      </c>
    </row>
    <row r="205" spans="1:9">
      <c r="A205" s="1" t="s">
        <v>9</v>
      </c>
      <c r="B205" s="2" t="s">
        <v>82</v>
      </c>
      <c r="C205" s="2" t="s">
        <v>78</v>
      </c>
      <c r="D205" s="2">
        <v>43</v>
      </c>
      <c r="E205" s="2">
        <v>941.73</v>
      </c>
      <c r="F205" s="2">
        <v>14.5</v>
      </c>
      <c r="G205" s="2">
        <v>23.1</v>
      </c>
      <c r="H205" s="2">
        <v>34.799999999999997</v>
      </c>
      <c r="I205" s="2">
        <v>25484.75</v>
      </c>
    </row>
    <row r="206" spans="1:9">
      <c r="A206" s="1" t="s">
        <v>9</v>
      </c>
      <c r="B206" s="2" t="s">
        <v>51</v>
      </c>
      <c r="C206" s="2" t="s">
        <v>78</v>
      </c>
      <c r="D206" s="2">
        <v>39</v>
      </c>
      <c r="E206" s="2">
        <v>13421.49</v>
      </c>
      <c r="F206" s="2">
        <v>13.8</v>
      </c>
      <c r="G206" s="2">
        <v>29.5</v>
      </c>
      <c r="H206" s="2">
        <v>41.5</v>
      </c>
      <c r="I206" s="2">
        <v>38906.239999999998</v>
      </c>
    </row>
    <row r="207" spans="1:9">
      <c r="A207" s="1" t="s">
        <v>9</v>
      </c>
      <c r="B207" s="2" t="s">
        <v>50</v>
      </c>
      <c r="C207" s="2" t="s">
        <v>78</v>
      </c>
      <c r="D207" s="2">
        <v>37</v>
      </c>
      <c r="E207" s="2">
        <v>8567.41</v>
      </c>
      <c r="F207" s="2">
        <v>15</v>
      </c>
      <c r="G207" s="2">
        <v>28.5</v>
      </c>
      <c r="H207" s="2">
        <v>29.1</v>
      </c>
      <c r="I207" s="2">
        <v>47473.65</v>
      </c>
    </row>
    <row r="208" spans="1:9">
      <c r="A208" s="1" t="s">
        <v>9</v>
      </c>
      <c r="B208" s="2" t="s">
        <v>83</v>
      </c>
      <c r="C208" s="2" t="s">
        <v>78</v>
      </c>
      <c r="D208" s="2">
        <v>22</v>
      </c>
      <c r="E208" s="2">
        <v>347.43</v>
      </c>
      <c r="F208" s="2">
        <v>14.8</v>
      </c>
      <c r="G208" s="2">
        <v>23.2</v>
      </c>
      <c r="H208" s="2">
        <v>32.5</v>
      </c>
      <c r="I208" s="2">
        <v>47821.08</v>
      </c>
    </row>
    <row r="209" spans="1:9">
      <c r="A209" s="1" t="s">
        <v>9</v>
      </c>
      <c r="B209" s="2" t="s">
        <v>80</v>
      </c>
      <c r="C209" s="2" t="s">
        <v>78</v>
      </c>
      <c r="D209" s="2">
        <v>21</v>
      </c>
      <c r="E209" s="2">
        <v>295.22000000000003</v>
      </c>
      <c r="F209" s="2">
        <v>12.5</v>
      </c>
      <c r="G209" s="2">
        <v>35.9</v>
      </c>
      <c r="H209" s="2">
        <v>29.8</v>
      </c>
      <c r="I209" s="2">
        <v>48116.3</v>
      </c>
    </row>
    <row r="210" spans="1:9">
      <c r="A210" s="1" t="s">
        <v>9</v>
      </c>
      <c r="B210" s="2" t="s">
        <v>82</v>
      </c>
      <c r="C210" s="2" t="s">
        <v>84</v>
      </c>
      <c r="D210" s="2">
        <v>54</v>
      </c>
      <c r="E210" s="2">
        <v>711.39</v>
      </c>
      <c r="F210" s="2">
        <v>47.1</v>
      </c>
      <c r="G210" s="2">
        <v>22.7</v>
      </c>
      <c r="H210" s="2">
        <v>22.5</v>
      </c>
      <c r="I210" s="2">
        <v>48827.69</v>
      </c>
    </row>
    <row r="211" spans="1:9">
      <c r="A211" s="1" t="s">
        <v>9</v>
      </c>
      <c r="B211" s="2" t="s">
        <v>52</v>
      </c>
      <c r="C211" s="2" t="s">
        <v>84</v>
      </c>
      <c r="D211" s="2">
        <v>20</v>
      </c>
      <c r="E211" s="2">
        <v>9645.14</v>
      </c>
      <c r="F211" s="2">
        <v>42.8</v>
      </c>
      <c r="G211" s="2">
        <v>31.5</v>
      </c>
      <c r="H211" s="2">
        <v>32</v>
      </c>
      <c r="I211" s="2">
        <v>58472.83</v>
      </c>
    </row>
    <row r="212" spans="1:9">
      <c r="A212" s="1" t="s">
        <v>9</v>
      </c>
      <c r="B212" s="2" t="s">
        <v>81</v>
      </c>
      <c r="C212" s="2" t="s">
        <v>84</v>
      </c>
      <c r="D212" s="2">
        <v>35</v>
      </c>
      <c r="E212" s="2">
        <v>2750.9</v>
      </c>
      <c r="F212" s="2">
        <v>48.5</v>
      </c>
      <c r="G212" s="2">
        <v>20.100000000000001</v>
      </c>
      <c r="H212" s="2">
        <v>20.6</v>
      </c>
      <c r="I212" s="2">
        <v>61223.73</v>
      </c>
    </row>
    <row r="213" spans="1:9">
      <c r="A213" s="1" t="s">
        <v>9</v>
      </c>
      <c r="B213" s="2" t="s">
        <v>79</v>
      </c>
      <c r="C213" s="2" t="s">
        <v>84</v>
      </c>
      <c r="D213" s="2">
        <v>43</v>
      </c>
      <c r="E213" s="2">
        <v>575.32000000000005</v>
      </c>
      <c r="F213" s="2">
        <v>43.4</v>
      </c>
      <c r="G213" s="2">
        <v>26.9</v>
      </c>
      <c r="H213" s="2">
        <v>22.8</v>
      </c>
      <c r="I213" s="2">
        <v>61799.05</v>
      </c>
    </row>
    <row r="214" spans="1:9">
      <c r="A214" s="1" t="s">
        <v>9</v>
      </c>
      <c r="B214" s="2" t="s">
        <v>55</v>
      </c>
      <c r="C214" s="2" t="s">
        <v>84</v>
      </c>
      <c r="D214" s="2">
        <v>67</v>
      </c>
      <c r="E214" s="2">
        <v>6573.55</v>
      </c>
      <c r="F214" s="2">
        <v>46.5</v>
      </c>
      <c r="G214" s="2">
        <v>27.7</v>
      </c>
      <c r="H214" s="2">
        <v>29</v>
      </c>
      <c r="I214" s="2">
        <v>68372.600000000006</v>
      </c>
    </row>
    <row r="215" spans="1:9">
      <c r="A215" s="1" t="s">
        <v>9</v>
      </c>
      <c r="B215" s="2" t="s">
        <v>56</v>
      </c>
      <c r="C215" s="2" t="s">
        <v>84</v>
      </c>
      <c r="D215" s="2">
        <v>20</v>
      </c>
      <c r="E215" s="2">
        <v>2116.61</v>
      </c>
      <c r="F215" s="2">
        <v>45.1</v>
      </c>
      <c r="G215" s="2">
        <v>31</v>
      </c>
      <c r="H215" s="2">
        <v>35.4</v>
      </c>
      <c r="I215" s="2">
        <v>70489.210000000006</v>
      </c>
    </row>
    <row r="216" spans="1:9">
      <c r="A216" s="1" t="s">
        <v>9</v>
      </c>
      <c r="B216" s="2" t="s">
        <v>80</v>
      </c>
      <c r="C216" s="2" t="s">
        <v>84</v>
      </c>
      <c r="D216" s="2">
        <v>13</v>
      </c>
      <c r="E216" s="2">
        <v>100.01</v>
      </c>
      <c r="F216" s="2">
        <v>45.9</v>
      </c>
      <c r="G216" s="2">
        <v>34.9</v>
      </c>
      <c r="H216" s="2">
        <v>20.5</v>
      </c>
      <c r="I216" s="2">
        <v>70589.22</v>
      </c>
    </row>
    <row r="217" spans="1:9">
      <c r="A217" s="1" t="s">
        <v>9</v>
      </c>
      <c r="B217" s="2" t="s">
        <v>53</v>
      </c>
      <c r="C217" s="2" t="s">
        <v>84</v>
      </c>
      <c r="D217" s="2">
        <v>33</v>
      </c>
      <c r="E217" s="2">
        <v>5256.43</v>
      </c>
      <c r="F217" s="2">
        <v>45.2</v>
      </c>
      <c r="G217" s="2">
        <v>24.6</v>
      </c>
      <c r="H217" s="2">
        <v>25.9</v>
      </c>
      <c r="I217" s="2">
        <v>75845.649999999994</v>
      </c>
    </row>
    <row r="218" spans="1:9">
      <c r="A218" s="1" t="s">
        <v>9</v>
      </c>
      <c r="B218" s="2" t="s">
        <v>51</v>
      </c>
      <c r="C218" s="2" t="s">
        <v>84</v>
      </c>
      <c r="D218" s="2">
        <v>45</v>
      </c>
      <c r="E218" s="2">
        <v>4465.55</v>
      </c>
      <c r="F218" s="2">
        <v>45.9</v>
      </c>
      <c r="G218" s="2">
        <v>26.5</v>
      </c>
      <c r="H218" s="2">
        <v>27.8</v>
      </c>
      <c r="I218" s="2">
        <v>80311.199999999997</v>
      </c>
    </row>
    <row r="219" spans="1:9">
      <c r="A219" s="1" t="s">
        <v>9</v>
      </c>
      <c r="B219" s="2" t="s">
        <v>54</v>
      </c>
      <c r="C219" s="2" t="s">
        <v>84</v>
      </c>
      <c r="D219" s="2">
        <v>28</v>
      </c>
      <c r="E219" s="2">
        <v>6250.71</v>
      </c>
      <c r="F219" s="2">
        <v>48.2</v>
      </c>
      <c r="G219" s="2">
        <v>21.3</v>
      </c>
      <c r="H219" s="2">
        <v>33.5</v>
      </c>
      <c r="I219" s="2">
        <v>86561.91</v>
      </c>
    </row>
    <row r="220" spans="1:9">
      <c r="A220" s="1" t="s">
        <v>9</v>
      </c>
      <c r="B220" s="2" t="s">
        <v>83</v>
      </c>
      <c r="C220" s="2" t="s">
        <v>84</v>
      </c>
      <c r="D220" s="2">
        <v>27</v>
      </c>
      <c r="E220" s="2">
        <v>230.24</v>
      </c>
      <c r="F220" s="2">
        <v>43.1</v>
      </c>
      <c r="G220" s="2">
        <v>22.8</v>
      </c>
      <c r="H220" s="2">
        <v>19.399999999999999</v>
      </c>
      <c r="I220" s="2">
        <v>86792.15</v>
      </c>
    </row>
    <row r="221" spans="1:9">
      <c r="A221" s="1" t="s">
        <v>9</v>
      </c>
      <c r="B221" s="2" t="s">
        <v>50</v>
      </c>
      <c r="C221" s="2" t="s">
        <v>84</v>
      </c>
      <c r="D221" s="2">
        <v>34</v>
      </c>
      <c r="E221" s="2">
        <v>26713.58</v>
      </c>
      <c r="F221" s="2">
        <v>44.9</v>
      </c>
      <c r="G221" s="2">
        <v>28.9</v>
      </c>
      <c r="H221" s="2">
        <v>44.2</v>
      </c>
      <c r="I221" s="2">
        <v>113505.73</v>
      </c>
    </row>
    <row r="222" spans="1:9">
      <c r="A222" s="1" t="s">
        <v>9</v>
      </c>
      <c r="B222" s="2" t="s">
        <v>77</v>
      </c>
      <c r="C222" s="2" t="s">
        <v>84</v>
      </c>
      <c r="D222" s="2">
        <v>31</v>
      </c>
      <c r="E222" s="2">
        <v>4695.7700000000004</v>
      </c>
      <c r="F222" s="2">
        <v>47.5</v>
      </c>
      <c r="G222" s="2">
        <v>23.3</v>
      </c>
      <c r="H222" s="2">
        <v>45.8</v>
      </c>
      <c r="I222" s="2">
        <v>118201.5</v>
      </c>
    </row>
    <row r="223" spans="1:9">
      <c r="A223" s="1" t="s">
        <v>9</v>
      </c>
      <c r="B223" s="2" t="s">
        <v>81</v>
      </c>
      <c r="C223" s="2" t="s">
        <v>85</v>
      </c>
      <c r="D223" s="2">
        <v>27</v>
      </c>
      <c r="E223" s="2">
        <v>1569.4</v>
      </c>
      <c r="F223" s="2">
        <v>74.7</v>
      </c>
      <c r="G223" s="2">
        <v>21</v>
      </c>
      <c r="H223" s="2">
        <v>33</v>
      </c>
      <c r="I223" s="2">
        <v>153421.67000000001</v>
      </c>
    </row>
    <row r="224" spans="1:9">
      <c r="A224" s="1" t="s">
        <v>9</v>
      </c>
      <c r="B224" s="2" t="s">
        <v>50</v>
      </c>
      <c r="C224" s="2" t="s">
        <v>85</v>
      </c>
      <c r="D224" s="2">
        <v>30</v>
      </c>
      <c r="E224" s="2">
        <v>23003.53</v>
      </c>
      <c r="F224" s="2">
        <v>76.099999999999994</v>
      </c>
      <c r="G224" s="2">
        <v>28.6</v>
      </c>
      <c r="H224" s="2">
        <v>36.6</v>
      </c>
      <c r="I224" s="2">
        <v>141457.74</v>
      </c>
    </row>
    <row r="225" spans="1:9">
      <c r="A225" s="1" t="s">
        <v>9</v>
      </c>
      <c r="B225" s="2" t="s">
        <v>77</v>
      </c>
      <c r="C225" s="2" t="s">
        <v>85</v>
      </c>
      <c r="D225" s="2">
        <v>29</v>
      </c>
      <c r="E225" s="2">
        <v>1692.85</v>
      </c>
      <c r="F225" s="2">
        <v>76</v>
      </c>
      <c r="G225" s="2">
        <v>22.2</v>
      </c>
      <c r="H225" s="2">
        <v>26.8</v>
      </c>
      <c r="I225" s="2">
        <v>143150.59</v>
      </c>
    </row>
    <row r="226" spans="1:9">
      <c r="A226" s="1" t="s">
        <v>9</v>
      </c>
      <c r="B226" s="2" t="s">
        <v>54</v>
      </c>
      <c r="C226" s="2" t="s">
        <v>85</v>
      </c>
      <c r="D226" s="2">
        <v>23</v>
      </c>
      <c r="E226" s="2">
        <v>6645.72</v>
      </c>
      <c r="F226" s="2">
        <v>76.099999999999994</v>
      </c>
      <c r="G226" s="2">
        <v>22.9</v>
      </c>
      <c r="H226" s="2">
        <v>53.2</v>
      </c>
      <c r="I226" s="2">
        <v>149796.31</v>
      </c>
    </row>
    <row r="227" spans="1:9">
      <c r="A227" s="1" t="s">
        <v>9</v>
      </c>
      <c r="B227" s="2" t="s">
        <v>79</v>
      </c>
      <c r="C227" s="2" t="s">
        <v>85</v>
      </c>
      <c r="D227" s="2">
        <v>29</v>
      </c>
      <c r="E227" s="2">
        <v>842.49</v>
      </c>
      <c r="F227" s="2">
        <v>76.8</v>
      </c>
      <c r="G227" s="2">
        <v>27.4</v>
      </c>
      <c r="H227" s="2">
        <v>41.6</v>
      </c>
      <c r="I227" s="2">
        <v>150638.79999999999</v>
      </c>
    </row>
    <row r="228" spans="1:9">
      <c r="A228" s="1" t="s">
        <v>9</v>
      </c>
      <c r="B228" s="2" t="s">
        <v>82</v>
      </c>
      <c r="C228" s="2" t="s">
        <v>85</v>
      </c>
      <c r="D228" s="2">
        <v>54</v>
      </c>
      <c r="E228" s="2">
        <v>1213.47</v>
      </c>
      <c r="F228" s="2">
        <v>76.599999999999994</v>
      </c>
      <c r="G228" s="2">
        <v>20.6</v>
      </c>
      <c r="H228" s="2">
        <v>28</v>
      </c>
      <c r="I228" s="2">
        <v>151852.26999999999</v>
      </c>
    </row>
    <row r="229" spans="1:9">
      <c r="A229" s="1" t="s">
        <v>9</v>
      </c>
      <c r="B229" s="2" t="s">
        <v>80</v>
      </c>
      <c r="C229" s="2" t="s">
        <v>85</v>
      </c>
      <c r="D229" s="2">
        <v>25</v>
      </c>
      <c r="E229" s="2">
        <v>252.71</v>
      </c>
      <c r="F229" s="2">
        <v>76.099999999999994</v>
      </c>
      <c r="G229" s="2">
        <v>33.200000000000003</v>
      </c>
      <c r="H229" s="2">
        <v>52</v>
      </c>
      <c r="I229" s="2">
        <v>118454.21</v>
      </c>
    </row>
    <row r="230" spans="1:9">
      <c r="A230" s="1" t="s">
        <v>9</v>
      </c>
      <c r="B230" s="2" t="s">
        <v>51</v>
      </c>
      <c r="C230" s="2" t="s">
        <v>85</v>
      </c>
      <c r="D230" s="2">
        <v>31</v>
      </c>
      <c r="E230" s="2">
        <v>11666.86</v>
      </c>
      <c r="F230" s="2">
        <v>72.900000000000006</v>
      </c>
      <c r="G230" s="2">
        <v>28.3</v>
      </c>
      <c r="H230" s="2">
        <v>40.299999999999997</v>
      </c>
      <c r="I230" s="2">
        <v>165088.53</v>
      </c>
    </row>
    <row r="231" spans="1:9">
      <c r="A231" s="1" t="s">
        <v>9</v>
      </c>
      <c r="B231" s="2" t="s">
        <v>56</v>
      </c>
      <c r="C231" s="2" t="s">
        <v>85</v>
      </c>
      <c r="D231" s="2">
        <v>19</v>
      </c>
      <c r="E231" s="2">
        <v>1906.96</v>
      </c>
      <c r="F231" s="2">
        <v>73.599999999999994</v>
      </c>
      <c r="G231" s="2">
        <v>27.4</v>
      </c>
      <c r="H231" s="2">
        <v>23.4</v>
      </c>
      <c r="I231" s="2">
        <v>166995.49</v>
      </c>
    </row>
    <row r="232" spans="1:9">
      <c r="A232" s="1" t="s">
        <v>9</v>
      </c>
      <c r="B232" s="2" t="s">
        <v>53</v>
      </c>
      <c r="C232" s="2" t="s">
        <v>85</v>
      </c>
      <c r="D232" s="2">
        <v>32</v>
      </c>
      <c r="E232" s="2">
        <v>4860.6099999999997</v>
      </c>
      <c r="F232" s="2">
        <v>73.8</v>
      </c>
      <c r="G232" s="2">
        <v>23.2</v>
      </c>
      <c r="H232" s="2">
        <v>37.4</v>
      </c>
      <c r="I232" s="2">
        <v>171856.1</v>
      </c>
    </row>
    <row r="233" spans="1:9">
      <c r="A233" s="1" t="s">
        <v>9</v>
      </c>
      <c r="B233" s="2" t="s">
        <v>52</v>
      </c>
      <c r="C233" s="2" t="s">
        <v>85</v>
      </c>
      <c r="D233" s="2">
        <v>23</v>
      </c>
      <c r="E233" s="2">
        <v>6738.17</v>
      </c>
      <c r="F233" s="2">
        <v>75.400000000000006</v>
      </c>
      <c r="G233" s="2">
        <v>30.3</v>
      </c>
      <c r="H233" s="2">
        <v>32.299999999999997</v>
      </c>
      <c r="I233" s="2">
        <v>178594.27</v>
      </c>
    </row>
    <row r="234" spans="1:9">
      <c r="A234" s="1" t="s">
        <v>9</v>
      </c>
      <c r="B234" s="2" t="s">
        <v>83</v>
      </c>
      <c r="C234" s="2" t="s">
        <v>85</v>
      </c>
      <c r="D234" s="2">
        <v>21</v>
      </c>
      <c r="E234" s="2">
        <v>218.68</v>
      </c>
      <c r="F234" s="2">
        <v>75.8</v>
      </c>
      <c r="G234" s="2">
        <v>23.9</v>
      </c>
      <c r="H234" s="2">
        <v>23.8</v>
      </c>
      <c r="I234" s="2">
        <v>178812.95</v>
      </c>
    </row>
    <row r="235" spans="1:9">
      <c r="A235" s="1" t="s">
        <v>9</v>
      </c>
      <c r="B235" s="2" t="s">
        <v>55</v>
      </c>
      <c r="C235" s="2" t="s">
        <v>85</v>
      </c>
      <c r="D235" s="2">
        <v>59</v>
      </c>
      <c r="E235" s="2">
        <v>4795.41</v>
      </c>
      <c r="F235" s="2">
        <v>73.599999999999994</v>
      </c>
      <c r="G235" s="2">
        <v>29.6</v>
      </c>
      <c r="H235" s="2">
        <v>33</v>
      </c>
      <c r="I235" s="2">
        <v>183608.36</v>
      </c>
    </row>
    <row r="236" spans="1:9">
      <c r="A236" s="1" t="s">
        <v>9</v>
      </c>
      <c r="B236" s="2" t="s">
        <v>82</v>
      </c>
      <c r="C236" s="2" t="s">
        <v>86</v>
      </c>
      <c r="D236" s="2">
        <v>53</v>
      </c>
      <c r="E236" s="2">
        <v>555.46</v>
      </c>
      <c r="F236" s="2">
        <v>103.5</v>
      </c>
      <c r="G236" s="2">
        <v>22.9</v>
      </c>
      <c r="H236" s="2">
        <v>32.4</v>
      </c>
      <c r="I236" s="2">
        <v>224719.35999999999</v>
      </c>
    </row>
    <row r="237" spans="1:9">
      <c r="A237" s="1" t="s">
        <v>9</v>
      </c>
      <c r="B237" s="2" t="s">
        <v>77</v>
      </c>
      <c r="C237" s="2" t="s">
        <v>86</v>
      </c>
      <c r="D237" s="2">
        <v>40</v>
      </c>
      <c r="E237" s="2">
        <v>5874.84</v>
      </c>
      <c r="F237" s="2">
        <v>105.1</v>
      </c>
      <c r="G237" s="2">
        <v>23</v>
      </c>
      <c r="H237" s="2">
        <v>48</v>
      </c>
      <c r="I237" s="2">
        <v>211956.74</v>
      </c>
    </row>
    <row r="238" spans="1:9">
      <c r="A238" s="1" t="s">
        <v>9</v>
      </c>
      <c r="B238" s="2" t="s">
        <v>55</v>
      </c>
      <c r="C238" s="2" t="s">
        <v>86</v>
      </c>
      <c r="D238" s="2">
        <v>53</v>
      </c>
      <c r="E238" s="2">
        <v>3511.42</v>
      </c>
      <c r="F238" s="2">
        <v>103.5</v>
      </c>
      <c r="G238" s="2">
        <v>31.8</v>
      </c>
      <c r="H238" s="2">
        <v>36.299999999999997</v>
      </c>
      <c r="I238" s="2">
        <v>215468.16</v>
      </c>
    </row>
    <row r="239" spans="1:9">
      <c r="A239" s="1" t="s">
        <v>9</v>
      </c>
      <c r="B239" s="2" t="s">
        <v>53</v>
      </c>
      <c r="C239" s="2" t="s">
        <v>86</v>
      </c>
      <c r="D239" s="2">
        <v>30</v>
      </c>
      <c r="E239" s="2">
        <v>4124.3500000000004</v>
      </c>
      <c r="F239" s="2">
        <v>106.5</v>
      </c>
      <c r="G239" s="2">
        <v>24.4</v>
      </c>
      <c r="H239" s="2">
        <v>28.5</v>
      </c>
      <c r="I239" s="2">
        <v>219592.51</v>
      </c>
    </row>
    <row r="240" spans="1:9">
      <c r="A240" s="1" t="s">
        <v>9</v>
      </c>
      <c r="B240" s="2" t="s">
        <v>81</v>
      </c>
      <c r="C240" s="2" t="s">
        <v>86</v>
      </c>
      <c r="D240" s="2">
        <v>22</v>
      </c>
      <c r="E240" s="2">
        <v>568.73</v>
      </c>
      <c r="F240" s="2">
        <v>105.3</v>
      </c>
      <c r="G240" s="2">
        <v>20.3</v>
      </c>
      <c r="H240" s="2">
        <v>42</v>
      </c>
      <c r="I240" s="2">
        <v>220161.24</v>
      </c>
    </row>
    <row r="241" spans="1:9">
      <c r="A241" s="1" t="s">
        <v>9</v>
      </c>
      <c r="B241" s="2" t="s">
        <v>56</v>
      </c>
      <c r="C241" s="2" t="s">
        <v>86</v>
      </c>
      <c r="D241" s="2">
        <v>19</v>
      </c>
      <c r="E241" s="2">
        <v>3782.74</v>
      </c>
      <c r="F241" s="2">
        <v>110.5</v>
      </c>
      <c r="G241" s="2">
        <v>24.5</v>
      </c>
      <c r="H241" s="2">
        <v>44</v>
      </c>
      <c r="I241" s="2">
        <v>223943.98</v>
      </c>
    </row>
    <row r="242" spans="1:9">
      <c r="A242" s="1" t="s">
        <v>9</v>
      </c>
      <c r="B242" s="2" t="s">
        <v>80</v>
      </c>
      <c r="C242" s="2" t="s">
        <v>86</v>
      </c>
      <c r="D242" s="2">
        <v>19</v>
      </c>
      <c r="E242" s="2">
        <v>219.92</v>
      </c>
      <c r="F242" s="2">
        <v>106.9</v>
      </c>
      <c r="G242" s="2">
        <v>30.9</v>
      </c>
      <c r="H242" s="2">
        <v>29.6</v>
      </c>
      <c r="I242" s="2">
        <v>224163.9</v>
      </c>
    </row>
    <row r="243" spans="1:9">
      <c r="A243" s="1" t="s">
        <v>9</v>
      </c>
      <c r="B243" s="2" t="s">
        <v>51</v>
      </c>
      <c r="C243" s="2" t="s">
        <v>86</v>
      </c>
      <c r="D243" s="2">
        <v>52</v>
      </c>
      <c r="E243" s="2">
        <v>22473.54</v>
      </c>
      <c r="F243" s="2">
        <v>106.7</v>
      </c>
      <c r="G243" s="2">
        <v>29.2</v>
      </c>
      <c r="H243" s="2">
        <v>37.4</v>
      </c>
      <c r="I243" s="2">
        <v>206081.9</v>
      </c>
    </row>
    <row r="244" spans="1:9">
      <c r="A244" s="1" t="s">
        <v>9</v>
      </c>
      <c r="B244" s="2" t="s">
        <v>54</v>
      </c>
      <c r="C244" s="2" t="s">
        <v>86</v>
      </c>
      <c r="D244" s="2">
        <v>34</v>
      </c>
      <c r="E244" s="2">
        <v>5945.77</v>
      </c>
      <c r="F244" s="2">
        <v>105.9</v>
      </c>
      <c r="G244" s="2">
        <v>22</v>
      </c>
      <c r="H244" s="2">
        <v>30.2</v>
      </c>
      <c r="I244" s="2">
        <v>230665.13</v>
      </c>
    </row>
    <row r="245" spans="1:9">
      <c r="A245" s="1" t="s">
        <v>9</v>
      </c>
      <c r="B245" s="2" t="s">
        <v>83</v>
      </c>
      <c r="C245" s="2" t="s">
        <v>86</v>
      </c>
      <c r="D245" s="2">
        <v>22</v>
      </c>
      <c r="E245" s="2">
        <v>739.6</v>
      </c>
      <c r="F245" s="2">
        <v>106.5</v>
      </c>
      <c r="G245" s="2">
        <v>24.8</v>
      </c>
      <c r="H245" s="2">
        <v>34.6</v>
      </c>
      <c r="I245" s="2">
        <v>231404.73</v>
      </c>
    </row>
    <row r="246" spans="1:9">
      <c r="A246" s="1" t="s">
        <v>9</v>
      </c>
      <c r="B246" s="2" t="s">
        <v>79</v>
      </c>
      <c r="C246" s="2" t="s">
        <v>86</v>
      </c>
      <c r="D246" s="2">
        <v>37</v>
      </c>
      <c r="E246" s="2">
        <v>715.88</v>
      </c>
      <c r="F246" s="2">
        <v>105.2</v>
      </c>
      <c r="G246" s="2">
        <v>26</v>
      </c>
      <c r="H246" s="2">
        <v>39.799999999999997</v>
      </c>
      <c r="I246" s="2">
        <v>232120.61</v>
      </c>
    </row>
    <row r="247" spans="1:9">
      <c r="A247" s="1" t="s">
        <v>9</v>
      </c>
      <c r="B247" s="2" t="s">
        <v>50</v>
      </c>
      <c r="C247" s="2" t="s">
        <v>86</v>
      </c>
      <c r="D247" s="2">
        <v>42</v>
      </c>
      <c r="E247" s="2">
        <v>20862.36</v>
      </c>
      <c r="F247" s="2">
        <v>107.3</v>
      </c>
      <c r="G247" s="2">
        <v>26.2</v>
      </c>
      <c r="H247" s="2">
        <v>33.799999999999997</v>
      </c>
      <c r="I247" s="2">
        <v>252982.97</v>
      </c>
    </row>
    <row r="248" spans="1:9">
      <c r="A248" s="1" t="s">
        <v>9</v>
      </c>
      <c r="B248" s="2" t="s">
        <v>52</v>
      </c>
      <c r="C248" s="2" t="s">
        <v>86</v>
      </c>
      <c r="D248" s="2">
        <v>33</v>
      </c>
      <c r="E248" s="2">
        <v>7307.53</v>
      </c>
      <c r="F248" s="2">
        <v>108.2</v>
      </c>
      <c r="G248" s="2">
        <v>28.4</v>
      </c>
      <c r="H248" s="2">
        <v>30.4</v>
      </c>
      <c r="I248" s="2">
        <v>260290.5</v>
      </c>
    </row>
    <row r="249" spans="1:9">
      <c r="A249" s="1" t="s">
        <v>9</v>
      </c>
      <c r="B249" s="2" t="s">
        <v>77</v>
      </c>
      <c r="C249" s="2" t="s">
        <v>87</v>
      </c>
      <c r="D249" s="2">
        <v>1135</v>
      </c>
      <c r="E249" s="2">
        <v>146055.73000000001</v>
      </c>
      <c r="F249" s="2">
        <v>718.8</v>
      </c>
      <c r="G249" s="2">
        <v>23.5</v>
      </c>
      <c r="H249" s="2">
        <v>33.9</v>
      </c>
      <c r="I249" s="2">
        <v>406346.23</v>
      </c>
    </row>
    <row r="250" spans="1:9">
      <c r="A250" s="1" t="s">
        <v>9</v>
      </c>
      <c r="B250" s="2" t="s">
        <v>50</v>
      </c>
      <c r="C250" s="2" t="s">
        <v>87</v>
      </c>
      <c r="D250" s="2">
        <v>1432</v>
      </c>
      <c r="E250" s="2">
        <v>897007.23</v>
      </c>
      <c r="F250" s="2">
        <v>692.8</v>
      </c>
      <c r="G250" s="2">
        <v>27.5</v>
      </c>
      <c r="H250" s="2">
        <v>34.1</v>
      </c>
      <c r="I250" s="2">
        <v>1303353.46</v>
      </c>
    </row>
    <row r="251" spans="1:9">
      <c r="A251" s="1" t="s">
        <v>9</v>
      </c>
      <c r="B251" s="2" t="s">
        <v>80</v>
      </c>
      <c r="C251" s="2" t="s">
        <v>87</v>
      </c>
      <c r="D251" s="2">
        <v>805</v>
      </c>
      <c r="E251" s="2">
        <v>7517.23</v>
      </c>
      <c r="F251" s="2">
        <v>714.8</v>
      </c>
      <c r="G251" s="2">
        <v>33.6</v>
      </c>
      <c r="H251" s="2">
        <v>30.4</v>
      </c>
      <c r="I251" s="2">
        <v>1310870.69</v>
      </c>
    </row>
    <row r="252" spans="1:9">
      <c r="A252" s="1" t="s">
        <v>9</v>
      </c>
      <c r="B252" s="2" t="s">
        <v>81</v>
      </c>
      <c r="C252" s="2" t="s">
        <v>87</v>
      </c>
      <c r="D252" s="2">
        <v>972</v>
      </c>
      <c r="E252" s="2">
        <v>73887.399999999994</v>
      </c>
      <c r="F252" s="2">
        <v>679.6</v>
      </c>
      <c r="G252" s="2">
        <v>21.4</v>
      </c>
      <c r="H252" s="2">
        <v>30.3</v>
      </c>
      <c r="I252" s="2">
        <v>1384758.09</v>
      </c>
    </row>
    <row r="253" spans="1:9">
      <c r="A253" s="1" t="s">
        <v>9</v>
      </c>
      <c r="B253" s="2" t="s">
        <v>82</v>
      </c>
      <c r="C253" s="2" t="s">
        <v>87</v>
      </c>
      <c r="D253" s="2">
        <v>1965</v>
      </c>
      <c r="E253" s="2">
        <v>38184.550000000003</v>
      </c>
      <c r="F253" s="2">
        <v>697.2</v>
      </c>
      <c r="G253" s="2">
        <v>21.9</v>
      </c>
      <c r="H253" s="2">
        <v>32.299999999999997</v>
      </c>
      <c r="I253" s="2">
        <v>1422942.64</v>
      </c>
    </row>
    <row r="254" spans="1:9">
      <c r="A254" s="1" t="s">
        <v>9</v>
      </c>
      <c r="B254" s="2" t="s">
        <v>79</v>
      </c>
      <c r="C254" s="2" t="s">
        <v>87</v>
      </c>
      <c r="D254" s="2">
        <v>1246</v>
      </c>
      <c r="E254" s="2">
        <v>21216.89</v>
      </c>
      <c r="F254" s="2">
        <v>697.1</v>
      </c>
      <c r="G254" s="2">
        <v>26.5</v>
      </c>
      <c r="H254" s="2">
        <v>30.7</v>
      </c>
      <c r="I254" s="2">
        <v>1444159.53</v>
      </c>
    </row>
    <row r="255" spans="1:9">
      <c r="A255" s="1" t="s">
        <v>9</v>
      </c>
      <c r="B255" s="2" t="s">
        <v>83</v>
      </c>
      <c r="C255" s="2" t="s">
        <v>87</v>
      </c>
      <c r="D255" s="2">
        <v>1022</v>
      </c>
      <c r="E255" s="2">
        <v>19527.740000000002</v>
      </c>
      <c r="F255" s="2">
        <v>698.1</v>
      </c>
      <c r="G255" s="2">
        <v>24</v>
      </c>
      <c r="H255" s="2">
        <v>33.200000000000003</v>
      </c>
      <c r="I255" s="2">
        <v>1463687.27</v>
      </c>
    </row>
    <row r="256" spans="1:9">
      <c r="A256" s="1" t="s">
        <v>9</v>
      </c>
      <c r="B256" s="2" t="s">
        <v>53</v>
      </c>
      <c r="C256" s="2" t="s">
        <v>87</v>
      </c>
      <c r="D256" s="2">
        <v>1108</v>
      </c>
      <c r="E256" s="2">
        <v>205467.39</v>
      </c>
      <c r="F256" s="2">
        <v>676.1</v>
      </c>
      <c r="G256" s="2">
        <v>24.1</v>
      </c>
      <c r="H256" s="2">
        <v>33.200000000000003</v>
      </c>
      <c r="I256" s="2">
        <v>1669154.66</v>
      </c>
    </row>
    <row r="257" spans="1:9">
      <c r="A257" s="1" t="s">
        <v>9</v>
      </c>
      <c r="B257" s="2" t="s">
        <v>54</v>
      </c>
      <c r="C257" s="2" t="s">
        <v>87</v>
      </c>
      <c r="D257" s="2">
        <v>1032</v>
      </c>
      <c r="E257" s="2">
        <v>191049.17</v>
      </c>
      <c r="F257" s="2">
        <v>704.8</v>
      </c>
      <c r="G257" s="2">
        <v>23.5</v>
      </c>
      <c r="H257" s="2">
        <v>32.200000000000003</v>
      </c>
      <c r="I257" s="2">
        <v>1860203.83</v>
      </c>
    </row>
    <row r="258" spans="1:9">
      <c r="A258" s="1" t="s">
        <v>9</v>
      </c>
      <c r="B258" s="2" t="s">
        <v>56</v>
      </c>
      <c r="C258" s="2" t="s">
        <v>87</v>
      </c>
      <c r="D258" s="2">
        <v>852</v>
      </c>
      <c r="E258" s="2">
        <v>82255.990000000005</v>
      </c>
      <c r="F258" s="2">
        <v>701.5</v>
      </c>
      <c r="G258" s="2">
        <v>25.6</v>
      </c>
      <c r="H258" s="2">
        <v>35.4</v>
      </c>
      <c r="I258" s="2">
        <v>1942459.82</v>
      </c>
    </row>
    <row r="259" spans="1:9">
      <c r="A259" s="1" t="s">
        <v>9</v>
      </c>
      <c r="B259" s="2" t="s">
        <v>55</v>
      </c>
      <c r="C259" s="2" t="s">
        <v>87</v>
      </c>
      <c r="D259" s="2">
        <v>2266</v>
      </c>
      <c r="E259" s="2">
        <v>217131.78</v>
      </c>
      <c r="F259" s="2">
        <v>696.7</v>
      </c>
      <c r="G259" s="2">
        <v>30.7</v>
      </c>
      <c r="H259" s="2">
        <v>31.4</v>
      </c>
      <c r="I259" s="2">
        <v>2159591.6</v>
      </c>
    </row>
    <row r="260" spans="1:9">
      <c r="A260" s="1" t="s">
        <v>9</v>
      </c>
      <c r="B260" s="2" t="s">
        <v>52</v>
      </c>
      <c r="C260" s="2" t="s">
        <v>87</v>
      </c>
      <c r="D260" s="2">
        <v>797</v>
      </c>
      <c r="E260" s="2">
        <v>283821.73</v>
      </c>
      <c r="F260" s="2">
        <v>695.8</v>
      </c>
      <c r="G260" s="2">
        <v>30.4</v>
      </c>
      <c r="H260" s="2">
        <v>32.799999999999997</v>
      </c>
      <c r="I260" s="2">
        <v>2443413.33</v>
      </c>
    </row>
    <row r="261" spans="1:9">
      <c r="A261" s="1" t="s">
        <v>9</v>
      </c>
      <c r="B261" s="2" t="s">
        <v>51</v>
      </c>
      <c r="C261" s="2" t="s">
        <v>87</v>
      </c>
      <c r="D261" s="2">
        <v>1645</v>
      </c>
      <c r="E261" s="2">
        <v>475073.63</v>
      </c>
      <c r="F261" s="2">
        <v>689.6</v>
      </c>
      <c r="G261" s="2">
        <v>28.8</v>
      </c>
      <c r="H261" s="2">
        <v>32.6</v>
      </c>
      <c r="I261" s="2">
        <v>2918486.96</v>
      </c>
    </row>
    <row r="262" spans="1:9">
      <c r="A262" s="1" t="s">
        <v>7</v>
      </c>
      <c r="B262" s="2" t="s">
        <v>51</v>
      </c>
      <c r="C262" s="2" t="s">
        <v>78</v>
      </c>
      <c r="D262" s="2">
        <v>48</v>
      </c>
      <c r="E262" s="2">
        <v>25428.959999999999</v>
      </c>
      <c r="F262" s="2">
        <v>17.600000000000001</v>
      </c>
      <c r="G262" s="2">
        <v>29.6</v>
      </c>
      <c r="H262" s="2">
        <v>47.1</v>
      </c>
      <c r="I262" s="2">
        <v>25428.959999999999</v>
      </c>
    </row>
    <row r="263" spans="1:9">
      <c r="A263" s="1" t="s">
        <v>7</v>
      </c>
      <c r="B263" s="2" t="s">
        <v>54</v>
      </c>
      <c r="C263" s="2" t="s">
        <v>78</v>
      </c>
      <c r="D263" s="2">
        <v>28</v>
      </c>
      <c r="E263" s="2">
        <v>5891.05</v>
      </c>
      <c r="F263" s="2">
        <v>16.899999999999999</v>
      </c>
      <c r="G263" s="2">
        <v>41.2</v>
      </c>
      <c r="H263" s="2">
        <v>37.299999999999997</v>
      </c>
      <c r="I263" s="2">
        <v>31320.01</v>
      </c>
    </row>
    <row r="264" spans="1:9">
      <c r="A264" s="1" t="s">
        <v>7</v>
      </c>
      <c r="B264" s="2" t="s">
        <v>81</v>
      </c>
      <c r="C264" s="2" t="s">
        <v>78</v>
      </c>
      <c r="D264" s="2">
        <v>22</v>
      </c>
      <c r="E264" s="2">
        <v>4504.92</v>
      </c>
      <c r="F264" s="2">
        <v>16.399999999999999</v>
      </c>
      <c r="G264" s="2">
        <v>31.7</v>
      </c>
      <c r="H264" s="2">
        <v>34.1</v>
      </c>
      <c r="I264" s="2">
        <v>35824.93</v>
      </c>
    </row>
    <row r="265" spans="1:9">
      <c r="A265" s="1" t="s">
        <v>7</v>
      </c>
      <c r="B265" s="2" t="s">
        <v>77</v>
      </c>
      <c r="C265" s="2" t="s">
        <v>78</v>
      </c>
      <c r="D265" s="2">
        <v>44</v>
      </c>
      <c r="E265" s="2">
        <v>6173.89</v>
      </c>
      <c r="F265" s="2">
        <v>13.2</v>
      </c>
      <c r="G265" s="2">
        <v>34.200000000000003</v>
      </c>
      <c r="H265" s="2">
        <v>54.1</v>
      </c>
      <c r="I265" s="2">
        <v>41998.82</v>
      </c>
    </row>
    <row r="266" spans="1:9">
      <c r="A266" s="1" t="s">
        <v>7</v>
      </c>
      <c r="B266" s="2" t="s">
        <v>55</v>
      </c>
      <c r="C266" s="2" t="s">
        <v>78</v>
      </c>
      <c r="D266" s="2">
        <v>82</v>
      </c>
      <c r="E266" s="2">
        <v>9382.23</v>
      </c>
      <c r="F266" s="2">
        <v>14.6</v>
      </c>
      <c r="G266" s="2">
        <v>35.200000000000003</v>
      </c>
      <c r="H266" s="2">
        <v>46.5</v>
      </c>
      <c r="I266" s="2">
        <v>51381.05</v>
      </c>
    </row>
    <row r="267" spans="1:9">
      <c r="A267" s="1" t="s">
        <v>7</v>
      </c>
      <c r="B267" s="2" t="s">
        <v>50</v>
      </c>
      <c r="C267" s="2" t="s">
        <v>78</v>
      </c>
      <c r="D267" s="2">
        <v>45</v>
      </c>
      <c r="E267" s="2">
        <v>75494.820000000007</v>
      </c>
      <c r="F267" s="2">
        <v>16.600000000000001</v>
      </c>
      <c r="G267" s="2">
        <v>19.3</v>
      </c>
      <c r="H267" s="2">
        <v>40.4</v>
      </c>
      <c r="I267" s="2">
        <v>126875.87</v>
      </c>
    </row>
    <row r="268" spans="1:9">
      <c r="A268" s="1" t="s">
        <v>7</v>
      </c>
      <c r="B268" s="2" t="s">
        <v>80</v>
      </c>
      <c r="C268" s="2" t="s">
        <v>78</v>
      </c>
      <c r="D268" s="2">
        <v>29</v>
      </c>
      <c r="E268" s="2">
        <v>777.75</v>
      </c>
      <c r="F268" s="2">
        <v>15.3</v>
      </c>
      <c r="G268" s="2">
        <v>25.3</v>
      </c>
      <c r="H268" s="2">
        <v>43.3</v>
      </c>
      <c r="I268" s="2">
        <v>127653.62</v>
      </c>
    </row>
    <row r="269" spans="1:9">
      <c r="A269" s="1" t="s">
        <v>7</v>
      </c>
      <c r="B269" s="2" t="s">
        <v>56</v>
      </c>
      <c r="C269" s="2" t="s">
        <v>78</v>
      </c>
      <c r="D269" s="2">
        <v>26</v>
      </c>
      <c r="E269" s="2">
        <v>5700.14</v>
      </c>
      <c r="F269" s="2">
        <v>17.2</v>
      </c>
      <c r="G269" s="2">
        <v>34.5</v>
      </c>
      <c r="H269" s="2">
        <v>46</v>
      </c>
      <c r="I269" s="2">
        <v>133353.76</v>
      </c>
    </row>
    <row r="270" spans="1:9">
      <c r="A270" s="1" t="s">
        <v>7</v>
      </c>
      <c r="B270" s="2" t="s">
        <v>53</v>
      </c>
      <c r="C270" s="2" t="s">
        <v>78</v>
      </c>
      <c r="D270" s="2">
        <v>32</v>
      </c>
      <c r="E270" s="2">
        <v>8033.96</v>
      </c>
      <c r="F270" s="2">
        <v>15.4</v>
      </c>
      <c r="G270" s="2">
        <v>23.6</v>
      </c>
      <c r="H270" s="2">
        <v>28.8</v>
      </c>
      <c r="I270" s="2">
        <v>141387.72</v>
      </c>
    </row>
    <row r="271" spans="1:9">
      <c r="A271" s="1" t="s">
        <v>7</v>
      </c>
      <c r="B271" s="2" t="s">
        <v>79</v>
      </c>
      <c r="C271" s="2" t="s">
        <v>78</v>
      </c>
      <c r="D271" s="2">
        <v>50</v>
      </c>
      <c r="E271" s="2">
        <v>1095.17</v>
      </c>
      <c r="F271" s="2">
        <v>13</v>
      </c>
      <c r="G271" s="2">
        <v>29.1</v>
      </c>
      <c r="H271" s="2">
        <v>48</v>
      </c>
      <c r="I271" s="2">
        <v>142482.89000000001</v>
      </c>
    </row>
    <row r="272" spans="1:9">
      <c r="A272" s="1" t="s">
        <v>7</v>
      </c>
      <c r="B272" s="2" t="s">
        <v>52</v>
      </c>
      <c r="C272" s="2" t="s">
        <v>78</v>
      </c>
      <c r="D272" s="2">
        <v>21</v>
      </c>
      <c r="E272" s="2">
        <v>12009.17</v>
      </c>
      <c r="F272" s="2">
        <v>13.5</v>
      </c>
      <c r="G272" s="2">
        <v>34.799999999999997</v>
      </c>
      <c r="H272" s="2">
        <v>41</v>
      </c>
      <c r="I272" s="2">
        <v>154492.06</v>
      </c>
    </row>
    <row r="273" spans="1:9">
      <c r="A273" s="1" t="s">
        <v>7</v>
      </c>
      <c r="B273" s="2" t="s">
        <v>82</v>
      </c>
      <c r="C273" s="2" t="s">
        <v>78</v>
      </c>
      <c r="D273" s="2">
        <v>62</v>
      </c>
      <c r="E273" s="2">
        <v>1401.43</v>
      </c>
      <c r="F273" s="2">
        <v>13.6</v>
      </c>
      <c r="G273" s="2">
        <v>32</v>
      </c>
      <c r="H273" s="2">
        <v>44.2</v>
      </c>
      <c r="I273" s="2">
        <v>155893.49</v>
      </c>
    </row>
    <row r="274" spans="1:9">
      <c r="A274" s="1" t="s">
        <v>7</v>
      </c>
      <c r="B274" s="2" t="s">
        <v>83</v>
      </c>
      <c r="C274" s="2" t="s">
        <v>78</v>
      </c>
      <c r="D274" s="2">
        <v>27</v>
      </c>
      <c r="E274" s="2">
        <v>934.96</v>
      </c>
      <c r="F274" s="2">
        <v>15.2</v>
      </c>
      <c r="G274" s="2">
        <v>33.299999999999997</v>
      </c>
      <c r="H274" s="2">
        <v>34.1</v>
      </c>
      <c r="I274" s="2">
        <v>156828.45000000001</v>
      </c>
    </row>
    <row r="275" spans="1:9">
      <c r="A275" s="1" t="s">
        <v>7</v>
      </c>
      <c r="B275" s="2" t="s">
        <v>54</v>
      </c>
      <c r="C275" s="2" t="s">
        <v>84</v>
      </c>
      <c r="D275" s="2">
        <v>31</v>
      </c>
      <c r="E275" s="2">
        <v>6106.35</v>
      </c>
      <c r="F275" s="2">
        <v>45</v>
      </c>
      <c r="G275" s="2">
        <v>40.6</v>
      </c>
      <c r="H275" s="2">
        <v>26.3</v>
      </c>
      <c r="I275" s="2">
        <v>162934.79999999999</v>
      </c>
    </row>
    <row r="276" spans="1:9">
      <c r="A276" s="1" t="s">
        <v>7</v>
      </c>
      <c r="B276" s="2" t="s">
        <v>56</v>
      </c>
      <c r="C276" s="2" t="s">
        <v>84</v>
      </c>
      <c r="D276" s="2">
        <v>26</v>
      </c>
      <c r="E276" s="2">
        <v>4362.1899999999996</v>
      </c>
      <c r="F276" s="2">
        <v>47.7</v>
      </c>
      <c r="G276" s="2">
        <v>35.1</v>
      </c>
      <c r="H276" s="2">
        <v>41.9</v>
      </c>
      <c r="I276" s="2">
        <v>167296.99</v>
      </c>
    </row>
    <row r="277" spans="1:9">
      <c r="A277" s="1" t="s">
        <v>7</v>
      </c>
      <c r="B277" s="2" t="s">
        <v>50</v>
      </c>
      <c r="C277" s="2" t="s">
        <v>84</v>
      </c>
      <c r="D277" s="2">
        <v>30</v>
      </c>
      <c r="E277" s="2">
        <v>15210.74</v>
      </c>
      <c r="F277" s="2">
        <v>46.4</v>
      </c>
      <c r="G277" s="2">
        <v>19</v>
      </c>
      <c r="H277" s="2">
        <v>48.7</v>
      </c>
      <c r="I277" s="2">
        <v>182507.73</v>
      </c>
    </row>
    <row r="278" spans="1:9">
      <c r="A278" s="1" t="s">
        <v>7</v>
      </c>
      <c r="B278" s="2" t="s">
        <v>83</v>
      </c>
      <c r="C278" s="2" t="s">
        <v>84</v>
      </c>
      <c r="D278" s="2">
        <v>36</v>
      </c>
      <c r="E278" s="2">
        <v>1402.76</v>
      </c>
      <c r="F278" s="2">
        <v>44.4</v>
      </c>
      <c r="G278" s="2">
        <v>32</v>
      </c>
      <c r="H278" s="2">
        <v>41.7</v>
      </c>
      <c r="I278" s="2">
        <v>183910.49</v>
      </c>
    </row>
    <row r="279" spans="1:9">
      <c r="A279" s="1" t="s">
        <v>7</v>
      </c>
      <c r="B279" s="2" t="s">
        <v>53</v>
      </c>
      <c r="C279" s="2" t="s">
        <v>84</v>
      </c>
      <c r="D279" s="2">
        <v>44</v>
      </c>
      <c r="E279" s="2">
        <v>9871.34</v>
      </c>
      <c r="F279" s="2">
        <v>48</v>
      </c>
      <c r="G279" s="2">
        <v>24.4</v>
      </c>
      <c r="H279" s="2">
        <v>36.9</v>
      </c>
      <c r="I279" s="2">
        <v>193781.83</v>
      </c>
    </row>
    <row r="280" spans="1:9">
      <c r="A280" s="1" t="s">
        <v>7</v>
      </c>
      <c r="B280" s="2" t="s">
        <v>82</v>
      </c>
      <c r="C280" s="2" t="s">
        <v>84</v>
      </c>
      <c r="D280" s="2">
        <v>60</v>
      </c>
      <c r="E280" s="2">
        <v>1857.43</v>
      </c>
      <c r="F280" s="2">
        <v>44.1</v>
      </c>
      <c r="G280" s="2">
        <v>32.200000000000003</v>
      </c>
      <c r="H280" s="2">
        <v>43.6</v>
      </c>
      <c r="I280" s="2">
        <v>195639.26</v>
      </c>
    </row>
    <row r="281" spans="1:9">
      <c r="A281" s="1" t="s">
        <v>7</v>
      </c>
      <c r="B281" s="2" t="s">
        <v>52</v>
      </c>
      <c r="C281" s="2" t="s">
        <v>84</v>
      </c>
      <c r="D281" s="2">
        <v>28</v>
      </c>
      <c r="E281" s="2">
        <v>30316.84</v>
      </c>
      <c r="F281" s="2">
        <v>45.7</v>
      </c>
      <c r="G281" s="2">
        <v>38.4</v>
      </c>
      <c r="H281" s="2">
        <v>52.7</v>
      </c>
      <c r="I281" s="2">
        <v>225956.1</v>
      </c>
    </row>
    <row r="282" spans="1:9">
      <c r="A282" s="1" t="s">
        <v>7</v>
      </c>
      <c r="B282" s="2" t="s">
        <v>51</v>
      </c>
      <c r="C282" s="2" t="s">
        <v>84</v>
      </c>
      <c r="D282" s="2">
        <v>41</v>
      </c>
      <c r="E282" s="2">
        <v>30105.07</v>
      </c>
      <c r="F282" s="2">
        <v>44.2</v>
      </c>
      <c r="G282" s="2">
        <v>31</v>
      </c>
      <c r="H282" s="2">
        <v>49.6</v>
      </c>
      <c r="I282" s="2">
        <v>256061.17</v>
      </c>
    </row>
    <row r="283" spans="1:9">
      <c r="A283" s="1" t="s">
        <v>7</v>
      </c>
      <c r="B283" s="2" t="s">
        <v>55</v>
      </c>
      <c r="C283" s="2" t="s">
        <v>84</v>
      </c>
      <c r="D283" s="2">
        <v>80</v>
      </c>
      <c r="E283" s="2">
        <v>7791.23</v>
      </c>
      <c r="F283" s="2">
        <v>46.9</v>
      </c>
      <c r="G283" s="2">
        <v>36.4</v>
      </c>
      <c r="H283" s="2">
        <v>42.6</v>
      </c>
      <c r="I283" s="2">
        <v>263852.40000000002</v>
      </c>
    </row>
    <row r="284" spans="1:9">
      <c r="A284" s="1" t="s">
        <v>7</v>
      </c>
      <c r="B284" s="2" t="s">
        <v>80</v>
      </c>
      <c r="C284" s="2" t="s">
        <v>84</v>
      </c>
      <c r="D284" s="2">
        <v>21</v>
      </c>
      <c r="E284" s="2">
        <v>302.12</v>
      </c>
      <c r="F284" s="2">
        <v>42.9</v>
      </c>
      <c r="G284" s="2">
        <v>23.3</v>
      </c>
      <c r="H284" s="2">
        <v>35.799999999999997</v>
      </c>
      <c r="I284" s="2">
        <v>264154.52</v>
      </c>
    </row>
    <row r="285" spans="1:9">
      <c r="A285" s="1" t="s">
        <v>7</v>
      </c>
      <c r="B285" s="2" t="s">
        <v>79</v>
      </c>
      <c r="C285" s="2" t="s">
        <v>84</v>
      </c>
      <c r="D285" s="2">
        <v>48</v>
      </c>
      <c r="E285" s="2">
        <v>1761.77</v>
      </c>
      <c r="F285" s="2">
        <v>46.5</v>
      </c>
      <c r="G285" s="2">
        <v>26.8</v>
      </c>
      <c r="H285" s="2">
        <v>46.3</v>
      </c>
      <c r="I285" s="2">
        <v>265916.28999999998</v>
      </c>
    </row>
    <row r="286" spans="1:9">
      <c r="A286" s="1" t="s">
        <v>7</v>
      </c>
      <c r="B286" s="2" t="s">
        <v>77</v>
      </c>
      <c r="C286" s="2" t="s">
        <v>84</v>
      </c>
      <c r="D286" s="2">
        <v>31</v>
      </c>
      <c r="E286" s="2">
        <v>3179.2</v>
      </c>
      <c r="F286" s="2">
        <v>48.9</v>
      </c>
      <c r="G286" s="2">
        <v>34.6</v>
      </c>
      <c r="H286" s="2">
        <v>33.200000000000003</v>
      </c>
      <c r="I286" s="2">
        <v>269095.49</v>
      </c>
    </row>
    <row r="287" spans="1:9">
      <c r="A287" s="1" t="s">
        <v>7</v>
      </c>
      <c r="B287" s="2" t="s">
        <v>81</v>
      </c>
      <c r="C287" s="2" t="s">
        <v>84</v>
      </c>
      <c r="D287" s="2">
        <v>29</v>
      </c>
      <c r="E287" s="2">
        <v>2862.67</v>
      </c>
      <c r="F287" s="2">
        <v>43.1</v>
      </c>
      <c r="G287" s="2">
        <v>31.9</v>
      </c>
      <c r="H287" s="2">
        <v>37.9</v>
      </c>
      <c r="I287" s="2">
        <v>271958.15999999997</v>
      </c>
    </row>
    <row r="288" spans="1:9">
      <c r="A288" s="1" t="s">
        <v>7</v>
      </c>
      <c r="B288" s="2" t="s">
        <v>51</v>
      </c>
      <c r="C288" s="2" t="s">
        <v>85</v>
      </c>
      <c r="D288" s="2">
        <v>52</v>
      </c>
      <c r="E288" s="2">
        <v>11279.75</v>
      </c>
      <c r="F288" s="2">
        <v>75.5</v>
      </c>
      <c r="G288" s="2">
        <v>33.299999999999997</v>
      </c>
      <c r="H288" s="2">
        <v>35.200000000000003</v>
      </c>
      <c r="I288" s="2">
        <v>318689.44</v>
      </c>
    </row>
    <row r="289" spans="1:9">
      <c r="A289" s="1" t="s">
        <v>7</v>
      </c>
      <c r="B289" s="2" t="s">
        <v>82</v>
      </c>
      <c r="C289" s="2" t="s">
        <v>85</v>
      </c>
      <c r="D289" s="2">
        <v>60</v>
      </c>
      <c r="E289" s="2">
        <v>1275.47</v>
      </c>
      <c r="F289" s="2">
        <v>74.7</v>
      </c>
      <c r="G289" s="2">
        <v>29.8</v>
      </c>
      <c r="H289" s="2">
        <v>39.4</v>
      </c>
      <c r="I289" s="2">
        <v>282271.09000000003</v>
      </c>
    </row>
    <row r="290" spans="1:9">
      <c r="A290" s="1" t="s">
        <v>7</v>
      </c>
      <c r="B290" s="2" t="s">
        <v>77</v>
      </c>
      <c r="C290" s="2" t="s">
        <v>85</v>
      </c>
      <c r="D290" s="2">
        <v>29</v>
      </c>
      <c r="E290" s="2">
        <v>2031.3</v>
      </c>
      <c r="F290" s="2">
        <v>78.400000000000006</v>
      </c>
      <c r="G290" s="2">
        <v>34.799999999999997</v>
      </c>
      <c r="H290" s="2">
        <v>37.700000000000003</v>
      </c>
      <c r="I290" s="2">
        <v>284302.39</v>
      </c>
    </row>
    <row r="291" spans="1:9">
      <c r="A291" s="1" t="s">
        <v>7</v>
      </c>
      <c r="B291" s="2" t="s">
        <v>81</v>
      </c>
      <c r="C291" s="2" t="s">
        <v>85</v>
      </c>
      <c r="D291" s="2">
        <v>27</v>
      </c>
      <c r="E291" s="2">
        <v>973.08</v>
      </c>
      <c r="F291" s="2">
        <v>75.599999999999994</v>
      </c>
      <c r="G291" s="2">
        <v>34</v>
      </c>
      <c r="H291" s="2">
        <v>33.799999999999997</v>
      </c>
      <c r="I291" s="2">
        <v>285275.46999999997</v>
      </c>
    </row>
    <row r="292" spans="1:9">
      <c r="A292" s="1" t="s">
        <v>7</v>
      </c>
      <c r="B292" s="2" t="s">
        <v>53</v>
      </c>
      <c r="C292" s="2" t="s">
        <v>85</v>
      </c>
      <c r="D292" s="2">
        <v>39</v>
      </c>
      <c r="E292" s="2">
        <v>16541.419999999998</v>
      </c>
      <c r="F292" s="2">
        <v>75.5</v>
      </c>
      <c r="G292" s="2">
        <v>23.6</v>
      </c>
      <c r="H292" s="2">
        <v>39.9</v>
      </c>
      <c r="I292" s="2">
        <v>301816.89</v>
      </c>
    </row>
    <row r="293" spans="1:9">
      <c r="A293" s="1" t="s">
        <v>7</v>
      </c>
      <c r="B293" s="2" t="s">
        <v>56</v>
      </c>
      <c r="C293" s="2" t="s">
        <v>85</v>
      </c>
      <c r="D293" s="2">
        <v>21</v>
      </c>
      <c r="E293" s="2">
        <v>5592.8</v>
      </c>
      <c r="F293" s="2">
        <v>74.2</v>
      </c>
      <c r="G293" s="2">
        <v>34.700000000000003</v>
      </c>
      <c r="H293" s="2">
        <v>51.2</v>
      </c>
      <c r="I293" s="2">
        <v>307409.69</v>
      </c>
    </row>
    <row r="294" spans="1:9">
      <c r="A294" s="1" t="s">
        <v>7</v>
      </c>
      <c r="B294" s="2" t="s">
        <v>52</v>
      </c>
      <c r="C294" s="2" t="s">
        <v>85</v>
      </c>
      <c r="D294" s="2">
        <v>29</v>
      </c>
      <c r="E294" s="2">
        <v>9037.4599999999991</v>
      </c>
      <c r="F294" s="2">
        <v>74</v>
      </c>
      <c r="G294" s="2">
        <v>35.4</v>
      </c>
      <c r="H294" s="2">
        <v>33.700000000000003</v>
      </c>
      <c r="I294" s="2">
        <v>280995.62</v>
      </c>
    </row>
    <row r="295" spans="1:9">
      <c r="A295" s="1" t="s">
        <v>7</v>
      </c>
      <c r="B295" s="2" t="s">
        <v>80</v>
      </c>
      <c r="C295" s="2" t="s">
        <v>85</v>
      </c>
      <c r="D295" s="2">
        <v>32</v>
      </c>
      <c r="E295" s="2">
        <v>460.41</v>
      </c>
      <c r="F295" s="2">
        <v>79.2</v>
      </c>
      <c r="G295" s="2">
        <v>27.1</v>
      </c>
      <c r="H295" s="2">
        <v>40.200000000000003</v>
      </c>
      <c r="I295" s="2">
        <v>319149.84999999998</v>
      </c>
    </row>
    <row r="296" spans="1:9">
      <c r="A296" s="1" t="s">
        <v>7</v>
      </c>
      <c r="B296" s="2" t="s">
        <v>79</v>
      </c>
      <c r="C296" s="2" t="s">
        <v>85</v>
      </c>
      <c r="D296" s="2">
        <v>48</v>
      </c>
      <c r="E296" s="2">
        <v>1419.39</v>
      </c>
      <c r="F296" s="2">
        <v>75.5</v>
      </c>
      <c r="G296" s="2">
        <v>27.7</v>
      </c>
      <c r="H296" s="2">
        <v>43.9</v>
      </c>
      <c r="I296" s="2">
        <v>320569.24</v>
      </c>
    </row>
    <row r="297" spans="1:9">
      <c r="A297" s="1" t="s">
        <v>7</v>
      </c>
      <c r="B297" s="2" t="s">
        <v>55</v>
      </c>
      <c r="C297" s="2" t="s">
        <v>85</v>
      </c>
      <c r="D297" s="2">
        <v>81</v>
      </c>
      <c r="E297" s="2">
        <v>9667.6</v>
      </c>
      <c r="F297" s="2">
        <v>75.400000000000006</v>
      </c>
      <c r="G297" s="2">
        <v>37.799999999999997</v>
      </c>
      <c r="H297" s="2">
        <v>39.200000000000003</v>
      </c>
      <c r="I297" s="2">
        <v>330236.84000000003</v>
      </c>
    </row>
    <row r="298" spans="1:9">
      <c r="A298" s="1" t="s">
        <v>7</v>
      </c>
      <c r="B298" s="2" t="s">
        <v>54</v>
      </c>
      <c r="C298" s="2" t="s">
        <v>85</v>
      </c>
      <c r="D298" s="2">
        <v>33</v>
      </c>
      <c r="E298" s="2">
        <v>2864.06</v>
      </c>
      <c r="F298" s="2">
        <v>74.2</v>
      </c>
      <c r="G298" s="2">
        <v>37.4</v>
      </c>
      <c r="H298" s="2">
        <v>30.3</v>
      </c>
      <c r="I298" s="2">
        <v>333100.90000000002</v>
      </c>
    </row>
    <row r="299" spans="1:9">
      <c r="A299" s="1" t="s">
        <v>7</v>
      </c>
      <c r="B299" s="2" t="s">
        <v>83</v>
      </c>
      <c r="C299" s="2" t="s">
        <v>85</v>
      </c>
      <c r="D299" s="2">
        <v>35</v>
      </c>
      <c r="E299" s="2">
        <v>1128.25</v>
      </c>
      <c r="F299" s="2">
        <v>73.8</v>
      </c>
      <c r="G299" s="2">
        <v>33.5</v>
      </c>
      <c r="H299" s="2">
        <v>49.6</v>
      </c>
      <c r="I299" s="2">
        <v>334229.15000000002</v>
      </c>
    </row>
    <row r="300" spans="1:9">
      <c r="A300" s="1" t="s">
        <v>7</v>
      </c>
      <c r="B300" s="2" t="s">
        <v>50</v>
      </c>
      <c r="C300" s="2" t="s">
        <v>85</v>
      </c>
      <c r="D300" s="2">
        <v>44</v>
      </c>
      <c r="E300" s="2">
        <v>23944.03</v>
      </c>
      <c r="F300" s="2">
        <v>76</v>
      </c>
      <c r="G300" s="2">
        <v>18.899999999999999</v>
      </c>
      <c r="H300" s="2">
        <v>40.299999999999997</v>
      </c>
      <c r="I300" s="2">
        <v>358173.18</v>
      </c>
    </row>
    <row r="301" spans="1:9">
      <c r="A301" s="1" t="s">
        <v>7</v>
      </c>
      <c r="B301" s="2" t="s">
        <v>52</v>
      </c>
      <c r="C301" s="2" t="s">
        <v>86</v>
      </c>
      <c r="D301" s="2">
        <v>24</v>
      </c>
      <c r="E301" s="2">
        <v>9595.14</v>
      </c>
      <c r="F301" s="2">
        <v>102.9</v>
      </c>
      <c r="G301" s="2">
        <v>37.5</v>
      </c>
      <c r="H301" s="2">
        <v>31.2</v>
      </c>
      <c r="I301" s="2">
        <v>455779.04</v>
      </c>
    </row>
    <row r="302" spans="1:9">
      <c r="A302" s="1" t="s">
        <v>7</v>
      </c>
      <c r="B302" s="2" t="s">
        <v>56</v>
      </c>
      <c r="C302" s="2" t="s">
        <v>86</v>
      </c>
      <c r="D302" s="2">
        <v>22</v>
      </c>
      <c r="E302" s="2">
        <v>999.12</v>
      </c>
      <c r="F302" s="2">
        <v>105.3</v>
      </c>
      <c r="G302" s="2">
        <v>33.6</v>
      </c>
      <c r="H302" s="2">
        <v>44.1</v>
      </c>
      <c r="I302" s="2">
        <v>360882.83</v>
      </c>
    </row>
    <row r="303" spans="1:9">
      <c r="A303" s="1" t="s">
        <v>7</v>
      </c>
      <c r="B303" s="2" t="s">
        <v>55</v>
      </c>
      <c r="C303" s="2" t="s">
        <v>86</v>
      </c>
      <c r="D303" s="2">
        <v>71</v>
      </c>
      <c r="E303" s="2">
        <v>7898.48</v>
      </c>
      <c r="F303" s="2">
        <v>105.5</v>
      </c>
      <c r="G303" s="2">
        <v>36.1</v>
      </c>
      <c r="H303" s="2">
        <v>42.7</v>
      </c>
      <c r="I303" s="2">
        <v>368781.31</v>
      </c>
    </row>
    <row r="304" spans="1:9">
      <c r="A304" s="1" t="s">
        <v>7</v>
      </c>
      <c r="B304" s="2" t="s">
        <v>50</v>
      </c>
      <c r="C304" s="2" t="s">
        <v>86</v>
      </c>
      <c r="D304" s="2">
        <v>39</v>
      </c>
      <c r="E304" s="2">
        <v>51689.58</v>
      </c>
      <c r="F304" s="2">
        <v>106.8</v>
      </c>
      <c r="G304" s="2">
        <v>18.5</v>
      </c>
      <c r="H304" s="2">
        <v>46.8</v>
      </c>
      <c r="I304" s="2">
        <v>420470.89</v>
      </c>
    </row>
    <row r="305" spans="1:9">
      <c r="A305" s="1" t="s">
        <v>7</v>
      </c>
      <c r="B305" s="2" t="s">
        <v>53</v>
      </c>
      <c r="C305" s="2" t="s">
        <v>86</v>
      </c>
      <c r="D305" s="2">
        <v>43</v>
      </c>
      <c r="E305" s="2">
        <v>12123.28</v>
      </c>
      <c r="F305" s="2">
        <v>105.2</v>
      </c>
      <c r="G305" s="2">
        <v>24.1</v>
      </c>
      <c r="H305" s="2">
        <v>47.6</v>
      </c>
      <c r="I305" s="2">
        <v>432594.17</v>
      </c>
    </row>
    <row r="306" spans="1:9">
      <c r="A306" s="1" t="s">
        <v>7</v>
      </c>
      <c r="B306" s="2" t="s">
        <v>81</v>
      </c>
      <c r="C306" s="2" t="s">
        <v>86</v>
      </c>
      <c r="D306" s="2">
        <v>37</v>
      </c>
      <c r="E306" s="2">
        <v>3478.2</v>
      </c>
      <c r="F306" s="2">
        <v>104.3</v>
      </c>
      <c r="G306" s="2">
        <v>34</v>
      </c>
      <c r="H306" s="2">
        <v>44.1</v>
      </c>
      <c r="I306" s="2">
        <v>436072.37</v>
      </c>
    </row>
    <row r="307" spans="1:9">
      <c r="A307" s="1" t="s">
        <v>7</v>
      </c>
      <c r="B307" s="2" t="s">
        <v>51</v>
      </c>
      <c r="C307" s="2" t="s">
        <v>86</v>
      </c>
      <c r="D307" s="2">
        <v>59</v>
      </c>
      <c r="E307" s="2">
        <v>10111.530000000001</v>
      </c>
      <c r="F307" s="2">
        <v>105.3</v>
      </c>
      <c r="G307" s="2">
        <v>30.4</v>
      </c>
      <c r="H307" s="2">
        <v>35.799999999999997</v>
      </c>
      <c r="I307" s="2">
        <v>446183.9</v>
      </c>
    </row>
    <row r="308" spans="1:9">
      <c r="A308" s="1" t="s">
        <v>7</v>
      </c>
      <c r="B308" s="2" t="s">
        <v>82</v>
      </c>
      <c r="C308" s="2" t="s">
        <v>86</v>
      </c>
      <c r="D308" s="2">
        <v>68</v>
      </c>
      <c r="E308" s="2">
        <v>1710.53</v>
      </c>
      <c r="F308" s="2">
        <v>105.9</v>
      </c>
      <c r="G308" s="2">
        <v>31.9</v>
      </c>
      <c r="H308" s="2">
        <v>40.299999999999997</v>
      </c>
      <c r="I308" s="2">
        <v>359883.71</v>
      </c>
    </row>
    <row r="309" spans="1:9">
      <c r="A309" s="1" t="s">
        <v>7</v>
      </c>
      <c r="B309" s="2" t="s">
        <v>80</v>
      </c>
      <c r="C309" s="2" t="s">
        <v>86</v>
      </c>
      <c r="D309" s="2">
        <v>28</v>
      </c>
      <c r="E309" s="2">
        <v>747.43</v>
      </c>
      <c r="F309" s="2">
        <v>106.1</v>
      </c>
      <c r="G309" s="2">
        <v>26</v>
      </c>
      <c r="H309" s="2">
        <v>57</v>
      </c>
      <c r="I309" s="2">
        <v>456526.47</v>
      </c>
    </row>
    <row r="310" spans="1:9">
      <c r="A310" s="1" t="s">
        <v>7</v>
      </c>
      <c r="B310" s="2" t="s">
        <v>79</v>
      </c>
      <c r="C310" s="2" t="s">
        <v>86</v>
      </c>
      <c r="D310" s="2">
        <v>52</v>
      </c>
      <c r="E310" s="2">
        <v>1498.36</v>
      </c>
      <c r="F310" s="2">
        <v>103.6</v>
      </c>
      <c r="G310" s="2">
        <v>29.4</v>
      </c>
      <c r="H310" s="2">
        <v>40.200000000000003</v>
      </c>
      <c r="I310" s="2">
        <v>458024.83</v>
      </c>
    </row>
    <row r="311" spans="1:9">
      <c r="A311" s="1" t="s">
        <v>7</v>
      </c>
      <c r="B311" s="2" t="s">
        <v>77</v>
      </c>
      <c r="C311" s="2" t="s">
        <v>86</v>
      </c>
      <c r="D311" s="2">
        <v>30</v>
      </c>
      <c r="E311" s="2">
        <v>5348.22</v>
      </c>
      <c r="F311" s="2">
        <v>105.1</v>
      </c>
      <c r="G311" s="2">
        <v>36.4</v>
      </c>
      <c r="H311" s="2">
        <v>33.799999999999997</v>
      </c>
      <c r="I311" s="2">
        <v>463373.05</v>
      </c>
    </row>
    <row r="312" spans="1:9">
      <c r="A312" s="1" t="s">
        <v>7</v>
      </c>
      <c r="B312" s="2" t="s">
        <v>83</v>
      </c>
      <c r="C312" s="2" t="s">
        <v>86</v>
      </c>
      <c r="D312" s="2">
        <v>24</v>
      </c>
      <c r="E312" s="2">
        <v>326.79000000000002</v>
      </c>
      <c r="F312" s="2">
        <v>106.5</v>
      </c>
      <c r="G312" s="2">
        <v>35.6</v>
      </c>
      <c r="H312" s="2">
        <v>46.7</v>
      </c>
      <c r="I312" s="2">
        <v>463699.84</v>
      </c>
    </row>
    <row r="313" spans="1:9">
      <c r="A313" s="1" t="s">
        <v>7</v>
      </c>
      <c r="B313" s="2" t="s">
        <v>54</v>
      </c>
      <c r="C313" s="2" t="s">
        <v>86</v>
      </c>
      <c r="D313" s="2">
        <v>30</v>
      </c>
      <c r="E313" s="2">
        <v>7546.58</v>
      </c>
      <c r="F313" s="2">
        <v>105.2</v>
      </c>
      <c r="G313" s="2">
        <v>38.5</v>
      </c>
      <c r="H313" s="2">
        <v>32.4</v>
      </c>
      <c r="I313" s="2">
        <v>471246.42</v>
      </c>
    </row>
    <row r="314" spans="1:9">
      <c r="A314" s="1" t="s">
        <v>7</v>
      </c>
      <c r="B314" s="2" t="s">
        <v>82</v>
      </c>
      <c r="C314" s="2" t="s">
        <v>87</v>
      </c>
      <c r="D314" s="2">
        <v>2383</v>
      </c>
      <c r="E314" s="2">
        <v>78627.490000000005</v>
      </c>
      <c r="F314" s="2">
        <v>696.7</v>
      </c>
      <c r="G314" s="2">
        <v>31.3</v>
      </c>
      <c r="H314" s="2">
        <v>41.5</v>
      </c>
      <c r="I314" s="2">
        <v>549873.91</v>
      </c>
    </row>
    <row r="315" spans="1:9">
      <c r="A315" s="1" t="s">
        <v>7</v>
      </c>
      <c r="B315" s="2" t="s">
        <v>80</v>
      </c>
      <c r="C315" s="2" t="s">
        <v>87</v>
      </c>
      <c r="D315" s="2">
        <v>1011</v>
      </c>
      <c r="E315" s="2">
        <v>16887.580000000002</v>
      </c>
      <c r="F315" s="2">
        <v>720.4</v>
      </c>
      <c r="G315" s="2">
        <v>27.2</v>
      </c>
      <c r="H315" s="2">
        <v>40.1</v>
      </c>
      <c r="I315" s="2">
        <v>566761.49</v>
      </c>
    </row>
    <row r="316" spans="1:9">
      <c r="A316" s="1" t="s">
        <v>7</v>
      </c>
      <c r="B316" s="2" t="s">
        <v>52</v>
      </c>
      <c r="C316" s="2" t="s">
        <v>87</v>
      </c>
      <c r="D316" s="2">
        <v>951</v>
      </c>
      <c r="E316" s="2">
        <v>481775.11</v>
      </c>
      <c r="F316" s="2">
        <v>700.6</v>
      </c>
      <c r="G316" s="2">
        <v>36.200000000000003</v>
      </c>
      <c r="H316" s="2">
        <v>42.2</v>
      </c>
      <c r="I316" s="2">
        <v>1048536.6</v>
      </c>
    </row>
    <row r="317" spans="1:9">
      <c r="A317" s="1" t="s">
        <v>7</v>
      </c>
      <c r="B317" s="2" t="s">
        <v>83</v>
      </c>
      <c r="C317" s="2" t="s">
        <v>87</v>
      </c>
      <c r="D317" s="2">
        <v>1196</v>
      </c>
      <c r="E317" s="2">
        <v>32770.870000000003</v>
      </c>
      <c r="F317" s="2">
        <v>692.5</v>
      </c>
      <c r="G317" s="2">
        <v>33.1</v>
      </c>
      <c r="H317" s="2">
        <v>40.299999999999997</v>
      </c>
      <c r="I317" s="2">
        <v>1081307.47</v>
      </c>
    </row>
    <row r="318" spans="1:9">
      <c r="A318" s="1" t="s">
        <v>7</v>
      </c>
      <c r="B318" s="2" t="s">
        <v>56</v>
      </c>
      <c r="C318" s="2" t="s">
        <v>87</v>
      </c>
      <c r="D318" s="2">
        <v>1007</v>
      </c>
      <c r="E318" s="2">
        <v>136003.53</v>
      </c>
      <c r="F318" s="2">
        <v>701.7</v>
      </c>
      <c r="G318" s="2">
        <v>34.1</v>
      </c>
      <c r="H318" s="2">
        <v>42.1</v>
      </c>
      <c r="I318" s="2">
        <v>1217311</v>
      </c>
    </row>
    <row r="319" spans="1:9">
      <c r="A319" s="1" t="s">
        <v>7</v>
      </c>
      <c r="B319" s="2" t="s">
        <v>55</v>
      </c>
      <c r="C319" s="2" t="s">
        <v>87</v>
      </c>
      <c r="D319" s="2">
        <v>2790</v>
      </c>
      <c r="E319" s="2">
        <v>409340.8</v>
      </c>
      <c r="F319" s="2">
        <v>701.7</v>
      </c>
      <c r="G319" s="2">
        <v>36.200000000000003</v>
      </c>
      <c r="H319" s="2">
        <v>41.5</v>
      </c>
      <c r="I319" s="2">
        <v>1626651.8</v>
      </c>
    </row>
    <row r="320" spans="1:9">
      <c r="A320" s="1" t="s">
        <v>7</v>
      </c>
      <c r="B320" s="2" t="s">
        <v>81</v>
      </c>
      <c r="C320" s="2" t="s">
        <v>87</v>
      </c>
      <c r="D320" s="2">
        <v>1170</v>
      </c>
      <c r="E320" s="2">
        <v>158981.44</v>
      </c>
      <c r="F320" s="2">
        <v>707</v>
      </c>
      <c r="G320" s="2">
        <v>32.1</v>
      </c>
      <c r="H320" s="2">
        <v>40.5</v>
      </c>
      <c r="I320" s="2">
        <v>1785633.24</v>
      </c>
    </row>
    <row r="321" spans="1:9">
      <c r="A321" s="1" t="s">
        <v>7</v>
      </c>
      <c r="B321" s="2" t="s">
        <v>54</v>
      </c>
      <c r="C321" s="2" t="s">
        <v>87</v>
      </c>
      <c r="D321" s="2">
        <v>1235</v>
      </c>
      <c r="E321" s="2">
        <v>378537.15</v>
      </c>
      <c r="F321" s="2">
        <v>698.2</v>
      </c>
      <c r="G321" s="2">
        <v>40.700000000000003</v>
      </c>
      <c r="H321" s="2">
        <v>41.1</v>
      </c>
      <c r="I321" s="2">
        <v>2164170.39</v>
      </c>
    </row>
    <row r="322" spans="1:9">
      <c r="A322" s="1" t="s">
        <v>7</v>
      </c>
      <c r="B322" s="2" t="s">
        <v>51</v>
      </c>
      <c r="C322" s="2" t="s">
        <v>87</v>
      </c>
      <c r="D322" s="2">
        <v>1977</v>
      </c>
      <c r="E322" s="2">
        <v>786264.42</v>
      </c>
      <c r="F322" s="2">
        <v>702.4</v>
      </c>
      <c r="G322" s="2">
        <v>31.5</v>
      </c>
      <c r="H322" s="2">
        <v>40.9</v>
      </c>
      <c r="I322" s="2">
        <v>2950434.81</v>
      </c>
    </row>
    <row r="323" spans="1:9">
      <c r="A323" s="1" t="s">
        <v>7</v>
      </c>
      <c r="B323" s="2" t="s">
        <v>53</v>
      </c>
      <c r="C323" s="2" t="s">
        <v>87</v>
      </c>
      <c r="D323" s="2">
        <v>1378</v>
      </c>
      <c r="E323" s="2">
        <v>430751.87</v>
      </c>
      <c r="F323" s="2">
        <v>717.3</v>
      </c>
      <c r="G323" s="2">
        <v>23.8</v>
      </c>
      <c r="H323" s="2">
        <v>41.9</v>
      </c>
      <c r="I323" s="2">
        <v>3381186.68</v>
      </c>
    </row>
    <row r="324" spans="1:9">
      <c r="A324" s="1" t="s">
        <v>7</v>
      </c>
      <c r="B324" s="2" t="s">
        <v>79</v>
      </c>
      <c r="C324" s="2" t="s">
        <v>87</v>
      </c>
      <c r="D324" s="2">
        <v>1544</v>
      </c>
      <c r="E324" s="2">
        <v>42116.58</v>
      </c>
      <c r="F324" s="2">
        <v>693.1</v>
      </c>
      <c r="G324" s="2">
        <v>27.2</v>
      </c>
      <c r="H324" s="2">
        <v>41.6</v>
      </c>
      <c r="I324" s="2">
        <v>3423303.26</v>
      </c>
    </row>
    <row r="325" spans="1:9">
      <c r="A325" s="1" t="s">
        <v>7</v>
      </c>
      <c r="B325" s="2" t="s">
        <v>77</v>
      </c>
      <c r="C325" s="2" t="s">
        <v>87</v>
      </c>
      <c r="D325" s="2">
        <v>1326</v>
      </c>
      <c r="E325" s="2">
        <v>297968.07</v>
      </c>
      <c r="F325" s="2">
        <v>713.3</v>
      </c>
      <c r="G325" s="2">
        <v>35.299999999999997</v>
      </c>
      <c r="H325" s="2">
        <v>40.5</v>
      </c>
      <c r="I325" s="2">
        <v>3721271.33</v>
      </c>
    </row>
    <row r="326" spans="1:9">
      <c r="A326" s="1" t="s">
        <v>7</v>
      </c>
      <c r="B326" s="2" t="s">
        <v>50</v>
      </c>
      <c r="C326" s="2" t="s">
        <v>87</v>
      </c>
      <c r="D326" s="2">
        <v>1712</v>
      </c>
      <c r="E326" s="2">
        <v>1464801.93</v>
      </c>
      <c r="F326" s="2">
        <v>685.6</v>
      </c>
      <c r="G326" s="2">
        <v>19.100000000000001</v>
      </c>
      <c r="H326" s="2">
        <v>39.299999999999997</v>
      </c>
      <c r="I326" s="2">
        <v>5186073.26</v>
      </c>
    </row>
    <row r="327" spans="1:9">
      <c r="A327" s="1" t="s">
        <v>6</v>
      </c>
      <c r="B327" s="2" t="s">
        <v>80</v>
      </c>
      <c r="C327" s="2" t="s">
        <v>78</v>
      </c>
      <c r="D327" s="2">
        <v>42</v>
      </c>
      <c r="E327" s="2">
        <v>804.27</v>
      </c>
      <c r="F327" s="2">
        <v>16.3</v>
      </c>
      <c r="G327" s="2">
        <v>27.1</v>
      </c>
      <c r="H327" s="2">
        <v>40.9</v>
      </c>
      <c r="I327" s="2">
        <v>804.27</v>
      </c>
    </row>
    <row r="328" spans="1:9">
      <c r="A328" s="1" t="s">
        <v>6</v>
      </c>
      <c r="B328" s="2" t="s">
        <v>77</v>
      </c>
      <c r="C328" s="2" t="s">
        <v>78</v>
      </c>
      <c r="D328" s="2">
        <v>54</v>
      </c>
      <c r="E328" s="2">
        <v>4634.4399999999996</v>
      </c>
      <c r="F328" s="2">
        <v>15.1</v>
      </c>
      <c r="G328" s="2">
        <v>24.1</v>
      </c>
      <c r="H328" s="2">
        <v>31.3</v>
      </c>
      <c r="I328" s="2">
        <v>5438.71</v>
      </c>
    </row>
    <row r="329" spans="1:9">
      <c r="A329" s="1" t="s">
        <v>6</v>
      </c>
      <c r="B329" s="2" t="s">
        <v>54</v>
      </c>
      <c r="C329" s="2" t="s">
        <v>78</v>
      </c>
      <c r="D329" s="2">
        <v>60</v>
      </c>
      <c r="E329" s="2">
        <v>24500.11</v>
      </c>
      <c r="F329" s="2">
        <v>15.5</v>
      </c>
      <c r="G329" s="2">
        <v>35.9</v>
      </c>
      <c r="H329" s="2">
        <v>38.799999999999997</v>
      </c>
      <c r="I329" s="2">
        <v>29938.82</v>
      </c>
    </row>
    <row r="330" spans="1:9">
      <c r="A330" s="1" t="s">
        <v>6</v>
      </c>
      <c r="B330" s="2" t="s">
        <v>79</v>
      </c>
      <c r="C330" s="2" t="s">
        <v>78</v>
      </c>
      <c r="D330" s="2">
        <v>43</v>
      </c>
      <c r="E330" s="2">
        <v>1251.07</v>
      </c>
      <c r="F330" s="2">
        <v>13.5</v>
      </c>
      <c r="G330" s="2">
        <v>28</v>
      </c>
      <c r="H330" s="2">
        <v>46</v>
      </c>
      <c r="I330" s="2">
        <v>31189.89</v>
      </c>
    </row>
    <row r="331" spans="1:9">
      <c r="A331" s="1" t="s">
        <v>6</v>
      </c>
      <c r="B331" s="2" t="s">
        <v>51</v>
      </c>
      <c r="C331" s="2" t="s">
        <v>78</v>
      </c>
      <c r="D331" s="2">
        <v>73</v>
      </c>
      <c r="E331" s="2">
        <v>31240.13</v>
      </c>
      <c r="F331" s="2">
        <v>13.6</v>
      </c>
      <c r="G331" s="2">
        <v>29</v>
      </c>
      <c r="H331" s="2">
        <v>40.700000000000003</v>
      </c>
      <c r="I331" s="2">
        <v>62430.02</v>
      </c>
    </row>
    <row r="332" spans="1:9">
      <c r="A332" s="1" t="s">
        <v>6</v>
      </c>
      <c r="B332" s="2" t="s">
        <v>81</v>
      </c>
      <c r="C332" s="2" t="s">
        <v>78</v>
      </c>
      <c r="D332" s="2">
        <v>39</v>
      </c>
      <c r="E332" s="2">
        <v>5805.01</v>
      </c>
      <c r="F332" s="2">
        <v>14.4</v>
      </c>
      <c r="G332" s="2">
        <v>35.799999999999997</v>
      </c>
      <c r="H332" s="2">
        <v>44.9</v>
      </c>
      <c r="I332" s="2">
        <v>68235.03</v>
      </c>
    </row>
    <row r="333" spans="1:9">
      <c r="A333" s="1" t="s">
        <v>6</v>
      </c>
      <c r="B333" s="2" t="s">
        <v>55</v>
      </c>
      <c r="C333" s="2" t="s">
        <v>78</v>
      </c>
      <c r="D333" s="2">
        <v>75</v>
      </c>
      <c r="E333" s="2">
        <v>8794.2800000000007</v>
      </c>
      <c r="F333" s="2">
        <v>13.1</v>
      </c>
      <c r="G333" s="2">
        <v>26.5</v>
      </c>
      <c r="H333" s="2">
        <v>43.1</v>
      </c>
      <c r="I333" s="2">
        <v>77029.31</v>
      </c>
    </row>
    <row r="334" spans="1:9">
      <c r="A334" s="1" t="s">
        <v>6</v>
      </c>
      <c r="B334" s="2" t="s">
        <v>82</v>
      </c>
      <c r="C334" s="2" t="s">
        <v>78</v>
      </c>
      <c r="D334" s="2">
        <v>85</v>
      </c>
      <c r="E334" s="2">
        <v>2105.5100000000002</v>
      </c>
      <c r="F334" s="2">
        <v>15.1</v>
      </c>
      <c r="G334" s="2">
        <v>27</v>
      </c>
      <c r="H334" s="2">
        <v>37.4</v>
      </c>
      <c r="I334" s="2">
        <v>79134.820000000007</v>
      </c>
    </row>
    <row r="335" spans="1:9">
      <c r="A335" s="1" t="s">
        <v>6</v>
      </c>
      <c r="B335" s="2" t="s">
        <v>50</v>
      </c>
      <c r="C335" s="2" t="s">
        <v>78</v>
      </c>
      <c r="D335" s="2">
        <v>65</v>
      </c>
      <c r="E335" s="2">
        <v>69966.8</v>
      </c>
      <c r="F335" s="2">
        <v>14.1</v>
      </c>
      <c r="G335" s="2">
        <v>32</v>
      </c>
      <c r="H335" s="2">
        <v>44.5</v>
      </c>
      <c r="I335" s="2">
        <v>149101.62</v>
      </c>
    </row>
    <row r="336" spans="1:9">
      <c r="A336" s="1" t="s">
        <v>6</v>
      </c>
      <c r="B336" s="2" t="s">
        <v>53</v>
      </c>
      <c r="C336" s="2" t="s">
        <v>78</v>
      </c>
      <c r="D336" s="2">
        <v>39</v>
      </c>
      <c r="E336" s="2">
        <v>5561.78</v>
      </c>
      <c r="F336" s="2">
        <v>15.3</v>
      </c>
      <c r="G336" s="2">
        <v>34</v>
      </c>
      <c r="H336" s="2">
        <v>33.5</v>
      </c>
      <c r="I336" s="2">
        <v>154663.4</v>
      </c>
    </row>
    <row r="337" spans="1:9">
      <c r="A337" s="1" t="s">
        <v>6</v>
      </c>
      <c r="B337" s="2" t="s">
        <v>56</v>
      </c>
      <c r="C337" s="2" t="s">
        <v>78</v>
      </c>
      <c r="D337" s="2">
        <v>30</v>
      </c>
      <c r="E337" s="2">
        <v>5446.88</v>
      </c>
      <c r="F337" s="2">
        <v>14.7</v>
      </c>
      <c r="G337" s="2">
        <v>32.9</v>
      </c>
      <c r="H337" s="2">
        <v>28.7</v>
      </c>
      <c r="I337" s="2">
        <v>160110.28</v>
      </c>
    </row>
    <row r="338" spans="1:9">
      <c r="A338" s="1" t="s">
        <v>6</v>
      </c>
      <c r="B338" s="2" t="s">
        <v>52</v>
      </c>
      <c r="C338" s="2" t="s">
        <v>78</v>
      </c>
      <c r="D338" s="2">
        <v>36</v>
      </c>
      <c r="E338" s="2">
        <v>15940.32</v>
      </c>
      <c r="F338" s="2">
        <v>13.1</v>
      </c>
      <c r="G338" s="2">
        <v>33.6</v>
      </c>
      <c r="H338" s="2">
        <v>41.5</v>
      </c>
      <c r="I338" s="2">
        <v>176050.6</v>
      </c>
    </row>
    <row r="339" spans="1:9">
      <c r="A339" s="1" t="s">
        <v>6</v>
      </c>
      <c r="B339" s="2" t="s">
        <v>83</v>
      </c>
      <c r="C339" s="2" t="s">
        <v>78</v>
      </c>
      <c r="D339" s="2">
        <v>43</v>
      </c>
      <c r="E339" s="2">
        <v>758.34</v>
      </c>
      <c r="F339" s="2">
        <v>14.9</v>
      </c>
      <c r="G339" s="2">
        <v>31.5</v>
      </c>
      <c r="H339" s="2">
        <v>46.7</v>
      </c>
      <c r="I339" s="2">
        <v>176808.94</v>
      </c>
    </row>
    <row r="340" spans="1:9">
      <c r="A340" s="1" t="s">
        <v>6</v>
      </c>
      <c r="B340" s="2" t="s">
        <v>54</v>
      </c>
      <c r="C340" s="2" t="s">
        <v>84</v>
      </c>
      <c r="D340" s="2">
        <v>53</v>
      </c>
      <c r="E340" s="2">
        <v>17802.7</v>
      </c>
      <c r="F340" s="2">
        <v>45.3</v>
      </c>
      <c r="G340" s="2">
        <v>37</v>
      </c>
      <c r="H340" s="2">
        <v>40.1</v>
      </c>
      <c r="I340" s="2">
        <v>194611.64</v>
      </c>
    </row>
    <row r="341" spans="1:9">
      <c r="A341" s="1" t="s">
        <v>6</v>
      </c>
      <c r="B341" s="2" t="s">
        <v>83</v>
      </c>
      <c r="C341" s="2" t="s">
        <v>84</v>
      </c>
      <c r="D341" s="2">
        <v>50</v>
      </c>
      <c r="E341" s="2">
        <v>1096.3399999999999</v>
      </c>
      <c r="F341" s="2">
        <v>47.1</v>
      </c>
      <c r="G341" s="2">
        <v>29.3</v>
      </c>
      <c r="H341" s="2">
        <v>34.1</v>
      </c>
      <c r="I341" s="2">
        <v>195707.98</v>
      </c>
    </row>
    <row r="342" spans="1:9">
      <c r="A342" s="1" t="s">
        <v>6</v>
      </c>
      <c r="B342" s="2" t="s">
        <v>81</v>
      </c>
      <c r="C342" s="2" t="s">
        <v>84</v>
      </c>
      <c r="D342" s="2">
        <v>32</v>
      </c>
      <c r="E342" s="2">
        <v>4625.71</v>
      </c>
      <c r="F342" s="2">
        <v>44.3</v>
      </c>
      <c r="G342" s="2">
        <v>35.5</v>
      </c>
      <c r="H342" s="2">
        <v>41.4</v>
      </c>
      <c r="I342" s="2">
        <v>200333.69</v>
      </c>
    </row>
    <row r="343" spans="1:9">
      <c r="A343" s="1" t="s">
        <v>6</v>
      </c>
      <c r="B343" s="2" t="s">
        <v>82</v>
      </c>
      <c r="C343" s="2" t="s">
        <v>84</v>
      </c>
      <c r="D343" s="2">
        <v>80</v>
      </c>
      <c r="E343" s="2">
        <v>1963.18</v>
      </c>
      <c r="F343" s="2">
        <v>48.4</v>
      </c>
      <c r="G343" s="2">
        <v>28.6</v>
      </c>
      <c r="H343" s="2">
        <v>39.1</v>
      </c>
      <c r="I343" s="2">
        <v>202296.87</v>
      </c>
    </row>
    <row r="344" spans="1:9">
      <c r="A344" s="1" t="s">
        <v>6</v>
      </c>
      <c r="B344" s="2" t="s">
        <v>55</v>
      </c>
      <c r="C344" s="2" t="s">
        <v>84</v>
      </c>
      <c r="D344" s="2">
        <v>91</v>
      </c>
      <c r="E344" s="2">
        <v>9637.0400000000009</v>
      </c>
      <c r="F344" s="2">
        <v>45.6</v>
      </c>
      <c r="G344" s="2">
        <v>26.9</v>
      </c>
      <c r="H344" s="2">
        <v>44.2</v>
      </c>
      <c r="I344" s="2">
        <v>211933.91</v>
      </c>
    </row>
    <row r="345" spans="1:9">
      <c r="A345" s="1" t="s">
        <v>6</v>
      </c>
      <c r="B345" s="2" t="s">
        <v>51</v>
      </c>
      <c r="C345" s="2" t="s">
        <v>84</v>
      </c>
      <c r="D345" s="2">
        <v>63</v>
      </c>
      <c r="E345" s="2">
        <v>21228.58</v>
      </c>
      <c r="F345" s="2">
        <v>44.6</v>
      </c>
      <c r="G345" s="2">
        <v>32.5</v>
      </c>
      <c r="H345" s="2">
        <v>36.9</v>
      </c>
      <c r="I345" s="2">
        <v>233162.49</v>
      </c>
    </row>
    <row r="346" spans="1:9">
      <c r="A346" s="1" t="s">
        <v>6</v>
      </c>
      <c r="B346" s="2" t="s">
        <v>53</v>
      </c>
      <c r="C346" s="2" t="s">
        <v>84</v>
      </c>
      <c r="D346" s="2">
        <v>44</v>
      </c>
      <c r="E346" s="2">
        <v>5995.38</v>
      </c>
      <c r="F346" s="2">
        <v>45.8</v>
      </c>
      <c r="G346" s="2">
        <v>33.5</v>
      </c>
      <c r="H346" s="2">
        <v>43.3</v>
      </c>
      <c r="I346" s="2">
        <v>239157.87</v>
      </c>
    </row>
    <row r="347" spans="1:9">
      <c r="A347" s="1" t="s">
        <v>6</v>
      </c>
      <c r="B347" s="2" t="s">
        <v>79</v>
      </c>
      <c r="C347" s="2" t="s">
        <v>84</v>
      </c>
      <c r="D347" s="2">
        <v>40</v>
      </c>
      <c r="E347" s="2">
        <v>1144.03</v>
      </c>
      <c r="F347" s="2">
        <v>45.8</v>
      </c>
      <c r="G347" s="2">
        <v>28.5</v>
      </c>
      <c r="H347" s="2">
        <v>44.9</v>
      </c>
      <c r="I347" s="2">
        <v>240301.9</v>
      </c>
    </row>
    <row r="348" spans="1:9">
      <c r="A348" s="1" t="s">
        <v>6</v>
      </c>
      <c r="B348" s="2" t="s">
        <v>77</v>
      </c>
      <c r="C348" s="2" t="s">
        <v>84</v>
      </c>
      <c r="D348" s="2">
        <v>52</v>
      </c>
      <c r="E348" s="2">
        <v>14005.6</v>
      </c>
      <c r="F348" s="2">
        <v>45.7</v>
      </c>
      <c r="G348" s="2">
        <v>25.1</v>
      </c>
      <c r="H348" s="2">
        <v>45</v>
      </c>
      <c r="I348" s="2">
        <v>254307.5</v>
      </c>
    </row>
    <row r="349" spans="1:9">
      <c r="A349" s="1" t="s">
        <v>6</v>
      </c>
      <c r="B349" s="2" t="s">
        <v>50</v>
      </c>
      <c r="C349" s="2" t="s">
        <v>84</v>
      </c>
      <c r="D349" s="2">
        <v>45</v>
      </c>
      <c r="E349" s="2">
        <v>32602.68</v>
      </c>
      <c r="F349" s="2">
        <v>45.2</v>
      </c>
      <c r="G349" s="2">
        <v>32.9</v>
      </c>
      <c r="H349" s="2">
        <v>26.8</v>
      </c>
      <c r="I349" s="2">
        <v>286910.18</v>
      </c>
    </row>
    <row r="350" spans="1:9">
      <c r="A350" s="1" t="s">
        <v>6</v>
      </c>
      <c r="B350" s="2" t="s">
        <v>56</v>
      </c>
      <c r="C350" s="2" t="s">
        <v>84</v>
      </c>
      <c r="D350" s="2">
        <v>19</v>
      </c>
      <c r="E350" s="2">
        <v>1966.86</v>
      </c>
      <c r="F350" s="2">
        <v>47</v>
      </c>
      <c r="G350" s="2">
        <v>37</v>
      </c>
      <c r="H350" s="2">
        <v>32.4</v>
      </c>
      <c r="I350" s="2">
        <v>288877.03999999998</v>
      </c>
    </row>
    <row r="351" spans="1:9">
      <c r="A351" s="1" t="s">
        <v>6</v>
      </c>
      <c r="B351" s="2" t="s">
        <v>52</v>
      </c>
      <c r="C351" s="2" t="s">
        <v>84</v>
      </c>
      <c r="D351" s="2">
        <v>28</v>
      </c>
      <c r="E351" s="2">
        <v>6627.48</v>
      </c>
      <c r="F351" s="2">
        <v>47.2</v>
      </c>
      <c r="G351" s="2">
        <v>34.200000000000003</v>
      </c>
      <c r="H351" s="2">
        <v>39.9</v>
      </c>
      <c r="I351" s="2">
        <v>295504.52</v>
      </c>
    </row>
    <row r="352" spans="1:9">
      <c r="A352" s="1" t="s">
        <v>6</v>
      </c>
      <c r="B352" s="2" t="s">
        <v>80</v>
      </c>
      <c r="C352" s="2" t="s">
        <v>84</v>
      </c>
      <c r="D352" s="2">
        <v>33</v>
      </c>
      <c r="E352" s="2">
        <v>532.91</v>
      </c>
      <c r="F352" s="2">
        <v>44.3</v>
      </c>
      <c r="G352" s="2">
        <v>26.8</v>
      </c>
      <c r="H352" s="2">
        <v>38.9</v>
      </c>
      <c r="I352" s="2">
        <v>296037.43</v>
      </c>
    </row>
    <row r="353" spans="1:9">
      <c r="A353" s="1" t="s">
        <v>6</v>
      </c>
      <c r="B353" s="2" t="s">
        <v>55</v>
      </c>
      <c r="C353" s="2" t="s">
        <v>85</v>
      </c>
      <c r="D353" s="2">
        <v>78</v>
      </c>
      <c r="E353" s="2">
        <v>7870.76</v>
      </c>
      <c r="F353" s="2">
        <v>72.8</v>
      </c>
      <c r="G353" s="2">
        <v>27.4</v>
      </c>
      <c r="H353" s="2">
        <v>38.799999999999997</v>
      </c>
      <c r="I353" s="2">
        <v>386901.94</v>
      </c>
    </row>
    <row r="354" spans="1:9">
      <c r="A354" s="1" t="s">
        <v>6</v>
      </c>
      <c r="B354" s="2" t="s">
        <v>51</v>
      </c>
      <c r="C354" s="2" t="s">
        <v>85</v>
      </c>
      <c r="D354" s="2">
        <v>69</v>
      </c>
      <c r="E354" s="2">
        <v>17784.669999999998</v>
      </c>
      <c r="F354" s="2">
        <v>74.599999999999994</v>
      </c>
      <c r="G354" s="2">
        <v>30.5</v>
      </c>
      <c r="H354" s="2">
        <v>34.6</v>
      </c>
      <c r="I354" s="2">
        <v>353047.53</v>
      </c>
    </row>
    <row r="355" spans="1:9">
      <c r="A355" s="1" t="s">
        <v>6</v>
      </c>
      <c r="B355" s="2" t="s">
        <v>54</v>
      </c>
      <c r="C355" s="2" t="s">
        <v>85</v>
      </c>
      <c r="D355" s="2">
        <v>37</v>
      </c>
      <c r="E355" s="2">
        <v>9200.08</v>
      </c>
      <c r="F355" s="2">
        <v>76.2</v>
      </c>
      <c r="G355" s="2">
        <v>36.700000000000003</v>
      </c>
      <c r="H355" s="2">
        <v>27.1</v>
      </c>
      <c r="I355" s="2">
        <v>362247.61</v>
      </c>
    </row>
    <row r="356" spans="1:9">
      <c r="A356" s="1" t="s">
        <v>6</v>
      </c>
      <c r="B356" s="2" t="s">
        <v>77</v>
      </c>
      <c r="C356" s="2" t="s">
        <v>85</v>
      </c>
      <c r="D356" s="2">
        <v>36</v>
      </c>
      <c r="E356" s="2">
        <v>4717.76</v>
      </c>
      <c r="F356" s="2">
        <v>77.3</v>
      </c>
      <c r="G356" s="2">
        <v>20.100000000000001</v>
      </c>
      <c r="H356" s="2">
        <v>52.6</v>
      </c>
      <c r="I356" s="2">
        <v>366965.37</v>
      </c>
    </row>
    <row r="357" spans="1:9">
      <c r="A357" s="1" t="s">
        <v>6</v>
      </c>
      <c r="B357" s="2" t="s">
        <v>81</v>
      </c>
      <c r="C357" s="2" t="s">
        <v>85</v>
      </c>
      <c r="D357" s="2">
        <v>27</v>
      </c>
      <c r="E357" s="2">
        <v>3423.3</v>
      </c>
      <c r="F357" s="2">
        <v>74.7</v>
      </c>
      <c r="G357" s="2">
        <v>34.700000000000003</v>
      </c>
      <c r="H357" s="2">
        <v>32.1</v>
      </c>
      <c r="I357" s="2">
        <v>370388.67</v>
      </c>
    </row>
    <row r="358" spans="1:9">
      <c r="A358" s="1" t="s">
        <v>6</v>
      </c>
      <c r="B358" s="2" t="s">
        <v>53</v>
      </c>
      <c r="C358" s="2" t="s">
        <v>85</v>
      </c>
      <c r="D358" s="2">
        <v>52</v>
      </c>
      <c r="E358" s="2">
        <v>8642.51</v>
      </c>
      <c r="F358" s="2">
        <v>77.900000000000006</v>
      </c>
      <c r="G358" s="2">
        <v>36.200000000000003</v>
      </c>
      <c r="H358" s="2">
        <v>36.799999999999997</v>
      </c>
      <c r="I358" s="2">
        <v>379031.18</v>
      </c>
    </row>
    <row r="359" spans="1:9">
      <c r="A359" s="1" t="s">
        <v>6</v>
      </c>
      <c r="B359" s="2" t="s">
        <v>52</v>
      </c>
      <c r="C359" s="2" t="s">
        <v>85</v>
      </c>
      <c r="D359" s="2">
        <v>29</v>
      </c>
      <c r="E359" s="2">
        <v>39225.43</v>
      </c>
      <c r="F359" s="2">
        <v>75.3</v>
      </c>
      <c r="G359" s="2">
        <v>33.299999999999997</v>
      </c>
      <c r="H359" s="2">
        <v>55.3</v>
      </c>
      <c r="I359" s="2">
        <v>335262.86</v>
      </c>
    </row>
    <row r="360" spans="1:9">
      <c r="A360" s="1" t="s">
        <v>6</v>
      </c>
      <c r="B360" s="2" t="s">
        <v>83</v>
      </c>
      <c r="C360" s="2" t="s">
        <v>85</v>
      </c>
      <c r="D360" s="2">
        <v>31</v>
      </c>
      <c r="E360" s="2">
        <v>739.5</v>
      </c>
      <c r="F360" s="2">
        <v>74.8</v>
      </c>
      <c r="G360" s="2">
        <v>31.7</v>
      </c>
      <c r="H360" s="2">
        <v>39.4</v>
      </c>
      <c r="I360" s="2">
        <v>387641.44</v>
      </c>
    </row>
    <row r="361" spans="1:9">
      <c r="A361" s="1" t="s">
        <v>6</v>
      </c>
      <c r="B361" s="2" t="s">
        <v>50</v>
      </c>
      <c r="C361" s="2" t="s">
        <v>85</v>
      </c>
      <c r="D361" s="2">
        <v>71</v>
      </c>
      <c r="E361" s="2">
        <v>30196.97</v>
      </c>
      <c r="F361" s="2">
        <v>75.8</v>
      </c>
      <c r="G361" s="2">
        <v>33.4</v>
      </c>
      <c r="H361" s="2">
        <v>32.5</v>
      </c>
      <c r="I361" s="2">
        <v>417838.41</v>
      </c>
    </row>
    <row r="362" spans="1:9">
      <c r="A362" s="1" t="s">
        <v>6</v>
      </c>
      <c r="B362" s="2" t="s">
        <v>82</v>
      </c>
      <c r="C362" s="2" t="s">
        <v>85</v>
      </c>
      <c r="D362" s="2">
        <v>69</v>
      </c>
      <c r="E362" s="2">
        <v>1710.7</v>
      </c>
      <c r="F362" s="2">
        <v>73.900000000000006</v>
      </c>
      <c r="G362" s="2">
        <v>28.4</v>
      </c>
      <c r="H362" s="2">
        <v>43.7</v>
      </c>
      <c r="I362" s="2">
        <v>419549.11</v>
      </c>
    </row>
    <row r="363" spans="1:9">
      <c r="A363" s="1" t="s">
        <v>6</v>
      </c>
      <c r="B363" s="2" t="s">
        <v>56</v>
      </c>
      <c r="C363" s="2" t="s">
        <v>85</v>
      </c>
      <c r="D363" s="2">
        <v>32</v>
      </c>
      <c r="E363" s="2">
        <v>8911.85</v>
      </c>
      <c r="F363" s="2">
        <v>75.8</v>
      </c>
      <c r="G363" s="2">
        <v>33.5</v>
      </c>
      <c r="H363" s="2">
        <v>42.9</v>
      </c>
      <c r="I363" s="2">
        <v>428460.96</v>
      </c>
    </row>
    <row r="364" spans="1:9">
      <c r="A364" s="1" t="s">
        <v>6</v>
      </c>
      <c r="B364" s="2" t="s">
        <v>79</v>
      </c>
      <c r="C364" s="2" t="s">
        <v>85</v>
      </c>
      <c r="D364" s="2">
        <v>49</v>
      </c>
      <c r="E364" s="2">
        <v>1345.22</v>
      </c>
      <c r="F364" s="2">
        <v>77.2</v>
      </c>
      <c r="G364" s="2">
        <v>30.6</v>
      </c>
      <c r="H364" s="2">
        <v>50.5</v>
      </c>
      <c r="I364" s="2">
        <v>429806.18</v>
      </c>
    </row>
    <row r="365" spans="1:9">
      <c r="A365" s="1" t="s">
        <v>6</v>
      </c>
      <c r="B365" s="2" t="s">
        <v>80</v>
      </c>
      <c r="C365" s="2" t="s">
        <v>85</v>
      </c>
      <c r="D365" s="2">
        <v>32</v>
      </c>
      <c r="E365" s="2">
        <v>441.39</v>
      </c>
      <c r="F365" s="2">
        <v>75.3</v>
      </c>
      <c r="G365" s="2">
        <v>26.4</v>
      </c>
      <c r="H365" s="2">
        <v>33.5</v>
      </c>
      <c r="I365" s="2">
        <v>430247.57</v>
      </c>
    </row>
    <row r="366" spans="1:9">
      <c r="A366" s="1" t="s">
        <v>6</v>
      </c>
      <c r="B366" s="2" t="s">
        <v>52</v>
      </c>
      <c r="C366" s="2" t="s">
        <v>86</v>
      </c>
      <c r="D366" s="2">
        <v>26</v>
      </c>
      <c r="E366" s="2">
        <v>14565.1</v>
      </c>
      <c r="F366" s="2">
        <v>105.8</v>
      </c>
      <c r="G366" s="2">
        <v>35.200000000000003</v>
      </c>
      <c r="H366" s="2">
        <v>47.9</v>
      </c>
      <c r="I366" s="2">
        <v>483105.78</v>
      </c>
    </row>
    <row r="367" spans="1:9">
      <c r="A367" s="1" t="s">
        <v>6</v>
      </c>
      <c r="B367" s="2" t="s">
        <v>55</v>
      </c>
      <c r="C367" s="2" t="s">
        <v>86</v>
      </c>
      <c r="D367" s="2">
        <v>94</v>
      </c>
      <c r="E367" s="2">
        <v>8041.63</v>
      </c>
      <c r="F367" s="2">
        <v>106.1</v>
      </c>
      <c r="G367" s="2">
        <v>28.2</v>
      </c>
      <c r="H367" s="2">
        <v>32.9</v>
      </c>
      <c r="I367" s="2">
        <v>449739.59</v>
      </c>
    </row>
    <row r="368" spans="1:9">
      <c r="A368" s="1" t="s">
        <v>6</v>
      </c>
      <c r="B368" s="2" t="s">
        <v>82</v>
      </c>
      <c r="C368" s="2" t="s">
        <v>86</v>
      </c>
      <c r="D368" s="2">
        <v>66</v>
      </c>
      <c r="E368" s="2">
        <v>1699.99</v>
      </c>
      <c r="F368" s="2">
        <v>105.3</v>
      </c>
      <c r="G368" s="2">
        <v>28</v>
      </c>
      <c r="H368" s="2">
        <v>37.200000000000003</v>
      </c>
      <c r="I368" s="2">
        <v>451439.58</v>
      </c>
    </row>
    <row r="369" spans="1:9">
      <c r="A369" s="1" t="s">
        <v>6</v>
      </c>
      <c r="B369" s="2" t="s">
        <v>81</v>
      </c>
      <c r="C369" s="2" t="s">
        <v>86</v>
      </c>
      <c r="D369" s="2">
        <v>41</v>
      </c>
      <c r="E369" s="2">
        <v>5029.07</v>
      </c>
      <c r="F369" s="2">
        <v>106.1</v>
      </c>
      <c r="G369" s="2">
        <v>34.299999999999997</v>
      </c>
      <c r="H369" s="2">
        <v>44</v>
      </c>
      <c r="I369" s="2">
        <v>456468.65</v>
      </c>
    </row>
    <row r="370" spans="1:9">
      <c r="A370" s="1" t="s">
        <v>6</v>
      </c>
      <c r="B370" s="2" t="s">
        <v>83</v>
      </c>
      <c r="C370" s="2" t="s">
        <v>86</v>
      </c>
      <c r="D370" s="2">
        <v>34</v>
      </c>
      <c r="E370" s="2">
        <v>888.15</v>
      </c>
      <c r="F370" s="2">
        <v>104.3</v>
      </c>
      <c r="G370" s="2">
        <v>29</v>
      </c>
      <c r="H370" s="2">
        <v>48</v>
      </c>
      <c r="I370" s="2">
        <v>457356.79999999999</v>
      </c>
    </row>
    <row r="371" spans="1:9">
      <c r="A371" s="1" t="s">
        <v>6</v>
      </c>
      <c r="B371" s="2" t="s">
        <v>77</v>
      </c>
      <c r="C371" s="2" t="s">
        <v>86</v>
      </c>
      <c r="D371" s="2">
        <v>54</v>
      </c>
      <c r="E371" s="2">
        <v>9789.89</v>
      </c>
      <c r="F371" s="2">
        <v>105.6</v>
      </c>
      <c r="G371" s="2">
        <v>24.9</v>
      </c>
      <c r="H371" s="2">
        <v>44.2</v>
      </c>
      <c r="I371" s="2">
        <v>467146.69</v>
      </c>
    </row>
    <row r="372" spans="1:9">
      <c r="A372" s="1" t="s">
        <v>6</v>
      </c>
      <c r="B372" s="2" t="s">
        <v>79</v>
      </c>
      <c r="C372" s="2" t="s">
        <v>86</v>
      </c>
      <c r="D372" s="2">
        <v>44</v>
      </c>
      <c r="E372" s="2">
        <v>1393.99</v>
      </c>
      <c r="F372" s="2">
        <v>105</v>
      </c>
      <c r="G372" s="2">
        <v>29.9</v>
      </c>
      <c r="H372" s="2">
        <v>39.6</v>
      </c>
      <c r="I372" s="2">
        <v>468540.68</v>
      </c>
    </row>
    <row r="373" spans="1:9">
      <c r="A373" s="1" t="s">
        <v>6</v>
      </c>
      <c r="B373" s="2" t="s">
        <v>53</v>
      </c>
      <c r="C373" s="2" t="s">
        <v>86</v>
      </c>
      <c r="D373" s="2">
        <v>35</v>
      </c>
      <c r="E373" s="2">
        <v>11450.39</v>
      </c>
      <c r="F373" s="2">
        <v>104.9</v>
      </c>
      <c r="G373" s="2">
        <v>32.1</v>
      </c>
      <c r="H373" s="2">
        <v>43.9</v>
      </c>
      <c r="I373" s="2">
        <v>441697.96</v>
      </c>
    </row>
    <row r="374" spans="1:9">
      <c r="A374" s="1" t="s">
        <v>6</v>
      </c>
      <c r="B374" s="2" t="s">
        <v>51</v>
      </c>
      <c r="C374" s="2" t="s">
        <v>86</v>
      </c>
      <c r="D374" s="2">
        <v>62</v>
      </c>
      <c r="E374" s="2">
        <v>15871.66</v>
      </c>
      <c r="F374" s="2">
        <v>107.6</v>
      </c>
      <c r="G374" s="2">
        <v>31.9</v>
      </c>
      <c r="H374" s="2">
        <v>45.1</v>
      </c>
      <c r="I374" s="2">
        <v>498977.44</v>
      </c>
    </row>
    <row r="375" spans="1:9">
      <c r="A375" s="1" t="s">
        <v>6</v>
      </c>
      <c r="B375" s="2" t="s">
        <v>80</v>
      </c>
      <c r="C375" s="2" t="s">
        <v>86</v>
      </c>
      <c r="D375" s="2">
        <v>31</v>
      </c>
      <c r="E375" s="2">
        <v>299.16000000000003</v>
      </c>
      <c r="F375" s="2">
        <v>108.4</v>
      </c>
      <c r="G375" s="2">
        <v>27.3</v>
      </c>
      <c r="H375" s="2">
        <v>36.200000000000003</v>
      </c>
      <c r="I375" s="2">
        <v>499276.6</v>
      </c>
    </row>
    <row r="376" spans="1:9">
      <c r="A376" s="1" t="s">
        <v>6</v>
      </c>
      <c r="B376" s="2" t="s">
        <v>54</v>
      </c>
      <c r="C376" s="2" t="s">
        <v>86</v>
      </c>
      <c r="D376" s="2">
        <v>42</v>
      </c>
      <c r="E376" s="2">
        <v>8169.47</v>
      </c>
      <c r="F376" s="2">
        <v>106.4</v>
      </c>
      <c r="G376" s="2">
        <v>35.700000000000003</v>
      </c>
      <c r="H376" s="2">
        <v>40.799999999999997</v>
      </c>
      <c r="I376" s="2">
        <v>507446.07</v>
      </c>
    </row>
    <row r="377" spans="1:9">
      <c r="A377" s="1" t="s">
        <v>6</v>
      </c>
      <c r="B377" s="2" t="s">
        <v>56</v>
      </c>
      <c r="C377" s="2" t="s">
        <v>86</v>
      </c>
      <c r="D377" s="2">
        <v>36</v>
      </c>
      <c r="E377" s="2">
        <v>2233.6799999999998</v>
      </c>
      <c r="F377" s="2">
        <v>105.4</v>
      </c>
      <c r="G377" s="2">
        <v>38.200000000000003</v>
      </c>
      <c r="H377" s="2">
        <v>37.5</v>
      </c>
      <c r="I377" s="2">
        <v>509679.75</v>
      </c>
    </row>
    <row r="378" spans="1:9">
      <c r="A378" s="1" t="s">
        <v>6</v>
      </c>
      <c r="B378" s="2" t="s">
        <v>50</v>
      </c>
      <c r="C378" s="2" t="s">
        <v>86</v>
      </c>
      <c r="D378" s="2">
        <v>47</v>
      </c>
      <c r="E378" s="2">
        <v>30761.23</v>
      </c>
      <c r="F378" s="2">
        <v>104.3</v>
      </c>
      <c r="G378" s="2">
        <v>32.299999999999997</v>
      </c>
      <c r="H378" s="2">
        <v>36.6</v>
      </c>
      <c r="I378" s="2">
        <v>540440.98</v>
      </c>
    </row>
    <row r="379" spans="1:9">
      <c r="A379" s="1" t="s">
        <v>6</v>
      </c>
      <c r="B379" s="2" t="s">
        <v>54</v>
      </c>
      <c r="C379" s="2" t="s">
        <v>87</v>
      </c>
      <c r="D379" s="2">
        <v>1479</v>
      </c>
      <c r="E379" s="2">
        <v>451874.47</v>
      </c>
      <c r="F379" s="2">
        <v>719.7</v>
      </c>
      <c r="G379" s="2">
        <v>36.5</v>
      </c>
      <c r="H379" s="2">
        <v>42.1</v>
      </c>
      <c r="I379" s="2">
        <v>992315.45</v>
      </c>
    </row>
    <row r="380" spans="1:9">
      <c r="A380" s="1" t="s">
        <v>6</v>
      </c>
      <c r="B380" s="2" t="s">
        <v>80</v>
      </c>
      <c r="C380" s="2" t="s">
        <v>87</v>
      </c>
      <c r="D380" s="2">
        <v>1161</v>
      </c>
      <c r="E380" s="2">
        <v>19213.45</v>
      </c>
      <c r="F380" s="2">
        <v>714.1</v>
      </c>
      <c r="G380" s="2">
        <v>27.4</v>
      </c>
      <c r="H380" s="2">
        <v>42.5</v>
      </c>
      <c r="I380" s="2">
        <v>1011528.9</v>
      </c>
    </row>
    <row r="381" spans="1:9">
      <c r="A381" s="1" t="s">
        <v>6</v>
      </c>
      <c r="B381" s="2" t="s">
        <v>52</v>
      </c>
      <c r="C381" s="2" t="s">
        <v>87</v>
      </c>
      <c r="D381" s="2">
        <v>1168</v>
      </c>
      <c r="E381" s="2">
        <v>613028.81000000006</v>
      </c>
      <c r="F381" s="2">
        <v>701.5</v>
      </c>
      <c r="G381" s="2">
        <v>33</v>
      </c>
      <c r="H381" s="2">
        <v>41.1</v>
      </c>
      <c r="I381" s="2">
        <v>1624557.71</v>
      </c>
    </row>
    <row r="382" spans="1:9">
      <c r="A382" s="1" t="s">
        <v>6</v>
      </c>
      <c r="B382" s="2" t="s">
        <v>79</v>
      </c>
      <c r="C382" s="2" t="s">
        <v>87</v>
      </c>
      <c r="D382" s="2">
        <v>1870</v>
      </c>
      <c r="E382" s="2">
        <v>51943.43</v>
      </c>
      <c r="F382" s="2">
        <v>695.3</v>
      </c>
      <c r="G382" s="2">
        <v>30.6</v>
      </c>
      <c r="H382" s="2">
        <v>42.9</v>
      </c>
      <c r="I382" s="2">
        <v>1676501.14</v>
      </c>
    </row>
    <row r="383" spans="1:9">
      <c r="A383" s="1" t="s">
        <v>6</v>
      </c>
      <c r="B383" s="2" t="s">
        <v>83</v>
      </c>
      <c r="C383" s="2" t="s">
        <v>87</v>
      </c>
      <c r="D383" s="2">
        <v>1474</v>
      </c>
      <c r="E383" s="2">
        <v>39807.81</v>
      </c>
      <c r="F383" s="2">
        <v>681.2</v>
      </c>
      <c r="G383" s="2">
        <v>31.5</v>
      </c>
      <c r="H383" s="2">
        <v>40.299999999999997</v>
      </c>
      <c r="I383" s="2">
        <v>1716308.95</v>
      </c>
    </row>
    <row r="384" spans="1:9">
      <c r="A384" s="1" t="s">
        <v>6</v>
      </c>
      <c r="B384" s="2" t="s">
        <v>50</v>
      </c>
      <c r="C384" s="2" t="s">
        <v>87</v>
      </c>
      <c r="D384" s="2">
        <v>2076</v>
      </c>
      <c r="E384" s="2">
        <v>1784583.49</v>
      </c>
      <c r="F384" s="2">
        <v>693.5</v>
      </c>
      <c r="G384" s="2">
        <v>32.4</v>
      </c>
      <c r="H384" s="2">
        <v>42</v>
      </c>
      <c r="I384" s="2">
        <v>3500892.44</v>
      </c>
    </row>
    <row r="385" spans="1:9">
      <c r="A385" s="1" t="s">
        <v>6</v>
      </c>
      <c r="B385" s="2" t="s">
        <v>82</v>
      </c>
      <c r="C385" s="2" t="s">
        <v>87</v>
      </c>
      <c r="D385" s="2">
        <v>2795</v>
      </c>
      <c r="E385" s="2">
        <v>79927.67</v>
      </c>
      <c r="F385" s="2">
        <v>703</v>
      </c>
      <c r="G385" s="2">
        <v>27.1</v>
      </c>
      <c r="H385" s="2">
        <v>42.3</v>
      </c>
      <c r="I385" s="2">
        <v>3580820.11</v>
      </c>
    </row>
    <row r="386" spans="1:9">
      <c r="A386" s="1" t="s">
        <v>6</v>
      </c>
      <c r="B386" s="2" t="s">
        <v>55</v>
      </c>
      <c r="C386" s="2" t="s">
        <v>87</v>
      </c>
      <c r="D386" s="2">
        <v>3381</v>
      </c>
      <c r="E386" s="2">
        <v>466016.05</v>
      </c>
      <c r="F386" s="2">
        <v>700.9</v>
      </c>
      <c r="G386" s="2">
        <v>27.7</v>
      </c>
      <c r="H386" s="2">
        <v>40.799999999999997</v>
      </c>
      <c r="I386" s="2">
        <v>4046836.16</v>
      </c>
    </row>
    <row r="387" spans="1:9">
      <c r="A387" s="1" t="s">
        <v>6</v>
      </c>
      <c r="B387" s="2" t="s">
        <v>56</v>
      </c>
      <c r="C387" s="2" t="s">
        <v>87</v>
      </c>
      <c r="D387" s="2">
        <v>1226</v>
      </c>
      <c r="E387" s="2">
        <v>150785.42000000001</v>
      </c>
      <c r="F387" s="2">
        <v>706.8</v>
      </c>
      <c r="G387" s="2">
        <v>34.9</v>
      </c>
      <c r="H387" s="2">
        <v>40.700000000000003</v>
      </c>
      <c r="I387" s="2">
        <v>4197621.58</v>
      </c>
    </row>
    <row r="388" spans="1:9">
      <c r="A388" s="1" t="s">
        <v>6</v>
      </c>
      <c r="B388" s="2" t="s">
        <v>51</v>
      </c>
      <c r="C388" s="2" t="s">
        <v>87</v>
      </c>
      <c r="D388" s="2">
        <v>2349</v>
      </c>
      <c r="E388" s="2">
        <v>1020155.87</v>
      </c>
      <c r="F388" s="2">
        <v>697.4</v>
      </c>
      <c r="G388" s="2">
        <v>32.1</v>
      </c>
      <c r="H388" s="2">
        <v>41.2</v>
      </c>
      <c r="I388" s="2">
        <v>5217777.45</v>
      </c>
    </row>
    <row r="389" spans="1:9">
      <c r="A389" s="1" t="s">
        <v>6</v>
      </c>
      <c r="B389" s="2" t="s">
        <v>53</v>
      </c>
      <c r="C389" s="2" t="s">
        <v>87</v>
      </c>
      <c r="D389" s="2">
        <v>1665</v>
      </c>
      <c r="E389" s="2">
        <v>433790.36</v>
      </c>
      <c r="F389" s="2">
        <v>706.8</v>
      </c>
      <c r="G389" s="2">
        <v>33.799999999999997</v>
      </c>
      <c r="H389" s="2">
        <v>40.700000000000003</v>
      </c>
      <c r="I389" s="2">
        <v>5651567.8099999996</v>
      </c>
    </row>
    <row r="390" spans="1:9">
      <c r="A390" s="1" t="s">
        <v>6</v>
      </c>
      <c r="B390" s="2" t="s">
        <v>81</v>
      </c>
      <c r="C390" s="2" t="s">
        <v>87</v>
      </c>
      <c r="D390" s="2">
        <v>1398</v>
      </c>
      <c r="E390" s="2">
        <v>177545.33</v>
      </c>
      <c r="F390" s="2">
        <v>720.2</v>
      </c>
      <c r="G390" s="2">
        <v>34.799999999999997</v>
      </c>
      <c r="H390" s="2">
        <v>40.299999999999997</v>
      </c>
      <c r="I390" s="2">
        <v>5829113.1399999997</v>
      </c>
    </row>
    <row r="391" spans="1:9">
      <c r="A391" s="1" t="s">
        <v>6</v>
      </c>
      <c r="B391" s="2" t="s">
        <v>77</v>
      </c>
      <c r="C391" s="2" t="s">
        <v>87</v>
      </c>
      <c r="D391" s="2">
        <v>1720</v>
      </c>
      <c r="E391" s="2">
        <v>341229.89</v>
      </c>
      <c r="F391" s="2">
        <v>681.1</v>
      </c>
      <c r="G391" s="2">
        <v>23.9</v>
      </c>
      <c r="H391" s="2">
        <v>40.5</v>
      </c>
      <c r="I391" s="2">
        <v>6170343.0300000003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3EAD1-24AA-724F-800D-CF23F5232B73}">
  <dimension ref="A1:H17"/>
  <sheetViews>
    <sheetView workbookViewId="0">
      <selection activeCell="D41" sqref="D41"/>
    </sheetView>
  </sheetViews>
  <sheetFormatPr baseColWidth="10" defaultRowHeight="16"/>
  <cols>
    <col min="1" max="1" width="18.1640625" bestFit="1" customWidth="1"/>
    <col min="2" max="2" width="22.83203125" bestFit="1" customWidth="1"/>
    <col min="3" max="3" width="40.1640625" bestFit="1" customWidth="1"/>
    <col min="4" max="4" width="16" bestFit="1" customWidth="1"/>
    <col min="5" max="5" width="17.1640625" bestFit="1" customWidth="1"/>
    <col min="6" max="6" width="18.5" bestFit="1" customWidth="1"/>
    <col min="7" max="7" width="12.6640625" bestFit="1" customWidth="1"/>
    <col min="8" max="8" width="13.6640625" bestFit="1" customWidth="1"/>
  </cols>
  <sheetData>
    <row r="1" spans="1:8">
      <c r="A1" s="3" t="s">
        <v>90</v>
      </c>
      <c r="B1" s="3" t="s">
        <v>91</v>
      </c>
    </row>
    <row r="2" spans="1:8">
      <c r="A2" s="3" t="s">
        <v>58</v>
      </c>
      <c r="B2" t="s">
        <v>10</v>
      </c>
      <c r="C2" t="s">
        <v>8</v>
      </c>
      <c r="D2" t="s">
        <v>5</v>
      </c>
      <c r="E2" t="s">
        <v>9</v>
      </c>
      <c r="F2" t="s">
        <v>7</v>
      </c>
      <c r="G2" t="s">
        <v>6</v>
      </c>
      <c r="H2" t="s">
        <v>59</v>
      </c>
    </row>
    <row r="3" spans="1:8">
      <c r="A3" s="4" t="s">
        <v>78</v>
      </c>
      <c r="B3" s="5">
        <v>62949.08</v>
      </c>
      <c r="C3" s="5">
        <v>79376.5</v>
      </c>
      <c r="D3" s="5">
        <v>220985.87</v>
      </c>
      <c r="E3" s="5">
        <v>48116.299999999996</v>
      </c>
      <c r="F3" s="5">
        <v>156828.45000000001</v>
      </c>
      <c r="G3" s="5">
        <v>176808.94</v>
      </c>
      <c r="H3" s="5">
        <v>745065.1399999999</v>
      </c>
    </row>
    <row r="4" spans="1:8">
      <c r="A4" s="4" t="s">
        <v>84</v>
      </c>
      <c r="B4" s="5">
        <v>60291.76</v>
      </c>
      <c r="C4" s="5">
        <v>124429.40999999999</v>
      </c>
      <c r="D4" s="5">
        <v>299700.67</v>
      </c>
      <c r="E4" s="5">
        <v>70085.2</v>
      </c>
      <c r="F4" s="5">
        <v>115129.70999999999</v>
      </c>
      <c r="G4" s="5">
        <v>119228.48999999999</v>
      </c>
      <c r="H4" s="5">
        <v>788865.23999999987</v>
      </c>
    </row>
    <row r="5" spans="1:8">
      <c r="A5" s="4" t="s">
        <v>85</v>
      </c>
      <c r="B5" s="5">
        <v>44778.78</v>
      </c>
      <c r="C5" s="5">
        <v>129347.34</v>
      </c>
      <c r="D5" s="5">
        <v>358209.36000000004</v>
      </c>
      <c r="E5" s="5">
        <v>65406.86</v>
      </c>
      <c r="F5" s="5">
        <v>86215.01999999999</v>
      </c>
      <c r="G5" s="5">
        <v>134210.14000000001</v>
      </c>
      <c r="H5" s="5">
        <v>818167.5</v>
      </c>
    </row>
    <row r="6" spans="1:8">
      <c r="A6" s="4" t="s">
        <v>86</v>
      </c>
      <c r="B6" s="5">
        <v>65490.590000000004</v>
      </c>
      <c r="C6" s="5">
        <v>147776.19</v>
      </c>
      <c r="D6" s="5">
        <v>296882.81</v>
      </c>
      <c r="E6" s="5">
        <v>76682.14</v>
      </c>
      <c r="F6" s="5">
        <v>113073.23999999999</v>
      </c>
      <c r="G6" s="5">
        <v>110193.40999999999</v>
      </c>
      <c r="H6" s="5">
        <v>810098.38</v>
      </c>
    </row>
    <row r="7" spans="1:8">
      <c r="A7" s="4" t="s">
        <v>87</v>
      </c>
      <c r="B7" s="5">
        <v>2406658.13</v>
      </c>
      <c r="C7" s="5">
        <v>4590572.33</v>
      </c>
      <c r="D7" s="5">
        <v>9342945.8599999994</v>
      </c>
      <c r="E7" s="5">
        <v>2658196.4599999995</v>
      </c>
      <c r="F7" s="5">
        <v>4714826.84</v>
      </c>
      <c r="G7" s="5">
        <v>5629902.0499999998</v>
      </c>
      <c r="H7" s="5">
        <v>29343101.670000002</v>
      </c>
    </row>
    <row r="8" spans="1:8">
      <c r="A8" s="4" t="s">
        <v>59</v>
      </c>
      <c r="B8">
        <v>2640168.34</v>
      </c>
      <c r="C8">
        <v>5071501.7700000005</v>
      </c>
      <c r="D8">
        <v>10518724.57</v>
      </c>
      <c r="E8">
        <v>2918486.9599999995</v>
      </c>
      <c r="F8">
        <v>5186073.26</v>
      </c>
      <c r="G8">
        <v>6170343.0299999993</v>
      </c>
      <c r="H8">
        <v>32505297.93</v>
      </c>
    </row>
    <row r="10" spans="1:8">
      <c r="A10" s="3" t="s">
        <v>58</v>
      </c>
      <c r="B10" t="s">
        <v>88</v>
      </c>
      <c r="C10" t="s">
        <v>89</v>
      </c>
    </row>
    <row r="11" spans="1:8">
      <c r="A11" s="4" t="s">
        <v>10</v>
      </c>
      <c r="B11" s="6">
        <v>187.65384615384616</v>
      </c>
      <c r="C11" s="6">
        <v>32.190769230769241</v>
      </c>
    </row>
    <row r="12" spans="1:8">
      <c r="A12" s="4" t="s">
        <v>5</v>
      </c>
      <c r="B12" s="6">
        <v>187.74</v>
      </c>
      <c r="C12" s="6">
        <v>30.270769230769233</v>
      </c>
    </row>
    <row r="13" spans="1:8">
      <c r="A13" s="4" t="s">
        <v>9</v>
      </c>
      <c r="B13" s="6">
        <v>187.77692307692308</v>
      </c>
      <c r="C13" s="6">
        <v>26.273846153846158</v>
      </c>
    </row>
    <row r="14" spans="1:8">
      <c r="A14" s="4" t="s">
        <v>8</v>
      </c>
      <c r="B14" s="6">
        <v>187.82769230769236</v>
      </c>
      <c r="C14" s="6">
        <v>28.081538461538461</v>
      </c>
    </row>
    <row r="15" spans="1:8">
      <c r="A15" s="4" t="s">
        <v>6</v>
      </c>
      <c r="B15" s="6">
        <v>188.66615384615386</v>
      </c>
      <c r="C15" s="6">
        <v>31.089230769230777</v>
      </c>
    </row>
    <row r="16" spans="1:8">
      <c r="A16" s="4" t="s">
        <v>7</v>
      </c>
      <c r="B16" s="6">
        <v>188.80769230769229</v>
      </c>
      <c r="C16" s="6">
        <v>31.343076923076922</v>
      </c>
    </row>
    <row r="17" spans="1:3">
      <c r="A17" s="4" t="s">
        <v>59</v>
      </c>
      <c r="B17">
        <v>188.07871794871795</v>
      </c>
      <c r="C17">
        <v>29.87487179487179</v>
      </c>
    </row>
  </sheetData>
  <pageMargins left="0.7" right="0.7" top="0.75" bottom="0.75" header="0.3" footer="0.3"/>
  <drawing r:id="rId3"/>
</worksheet>
</file>

<file path=docMetadata/LabelInfo.xml><?xml version="1.0" encoding="utf-8"?>
<clbl:labelList xmlns:clbl="http://schemas.microsoft.com/office/2020/mipLabelMetadata">
  <clbl:label id="{170051ed-867f-4092-a6af-8a42e27b7e09}" enabled="1" method="Standard" siteId="{5217e0e7-539d-4563-b1bf-7c6dcf074f9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Executive Summary</vt:lpstr>
      <vt:lpstr>Executive_Dashboard</vt:lpstr>
      <vt:lpstr>Data_Payer_Summary</vt:lpstr>
      <vt:lpstr>Pivot_1</vt:lpstr>
      <vt:lpstr>Data_Denial_Root_Cause</vt:lpstr>
      <vt:lpstr>Pivot_2</vt:lpstr>
      <vt:lpstr>Data_Specialty_Risk</vt:lpstr>
      <vt:lpstr>Pivot_3</vt:lpstr>
      <vt:lpstr>Data_AR_DSO_Metrics</vt:lpstr>
      <vt:lpstr>Pivot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Ololade Folashade</cp:lastModifiedBy>
  <dcterms:created xsi:type="dcterms:W3CDTF">2026-09-29T18:41:20Z</dcterms:created>
  <dcterms:modified xsi:type="dcterms:W3CDTF">2026-10-01T19:39:48Z</dcterms:modified>
</cp:coreProperties>
</file>